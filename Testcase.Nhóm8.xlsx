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ạm Mạnh Hùng" sheetId="1" r:id="rId5"/>
    <sheet state="visible" name="Nguyễn Văn Thuỷ" sheetId="2" r:id="rId6"/>
    <sheet state="visible" name="Phạm Hùng Minh" sheetId="3" r:id="rId7"/>
    <sheet state="visible" name="Hoàng Tiến Đạt" sheetId="4" r:id="rId8"/>
  </sheets>
  <definedNames/>
  <calcPr/>
</workbook>
</file>

<file path=xl/sharedStrings.xml><?xml version="1.0" encoding="utf-8"?>
<sst xmlns="http://schemas.openxmlformats.org/spreadsheetml/2006/main" count="773" uniqueCount="546">
  <si>
    <t>STT</t>
  </si>
  <si>
    <t>Nhóm lỗi</t>
  </si>
  <si>
    <t>Số lượng test case</t>
  </si>
  <si>
    <t>IDOR / Broken Access Control</t>
  </si>
  <si>
    <t>Thiếu phân quyền Admin</t>
  </si>
  <si>
    <t>Authentication và bảo vệ tài khoản</t>
  </si>
  <si>
    <t xml:space="preserve">IDOR / Broken Access Control </t>
  </si>
  <si>
    <t>Test case ID</t>
  </si>
  <si>
    <t>Mô tả test case</t>
  </si>
  <si>
    <t>API/module áp dụng</t>
  </si>
  <si>
    <t>Hướng dẫn thực hiện trên Burp Suite</t>
  </si>
  <si>
    <t>Dữ liệu test</t>
  </si>
  <si>
    <t>Kết quả mong đợi</t>
  </si>
  <si>
    <t>Ngày test</t>
  </si>
  <si>
    <t>Kết quả</t>
  </si>
  <si>
    <t>TC001</t>
  </si>
  <si>
    <t>Xem thông tin cá nhân của khách hàng khác</t>
  </si>
  <si>
    <t>GET /api/khachhang/:idKH</t>
  </si>
  <si>
    <t>Đăng nhập bằng khách hàng A -&gt; mở trang tài khoản -&gt; bắt request GET /api/khachhang/ID_A trong HTTP history -&gt; Send to Repeater -&gt; đổi ID_A thành ID_B -&gt; Send</t>
  </si>
  <si>
    <t>/api/khachhang/1 đổi thành /api/khachhang/2</t>
  </si>
  <si>
    <t>Khách hàng A không xem được thông tin khách hàng B; server trả 401/403 hoặc thông báo không có quyền</t>
  </si>
  <si>
    <t>TC002</t>
  </si>
  <si>
    <t>Cập nhật hồ sơ cá nhân của khách hàng khác</t>
  </si>
  <si>
    <t>PUT /api/khachhang/:idKH</t>
  </si>
  <si>
    <t>Bắt request cập nhật hồ sơ của khách hàng A -&gt; gửi sang Repeater -&gt; đổi path idKH sang ID khách hàng B -&gt; sửa hoTen, diachi -&gt; Send</t>
  </si>
  <si>
    <t>PUT /api/khachhang/2 body {"hoTen":"Test IDOR","gioitinh":"Nam","cccd":"012345678901","diachi":"Dia chi bi sua"}</t>
  </si>
  <si>
    <t>Không cập nhật được hồ sơ của khách hàng khác; server chặn request</t>
  </si>
  <si>
    <t>TC003</t>
  </si>
  <si>
    <t>Xem hồ sơ y tế và lịch sử khám của khách hàng khác</t>
  </si>
  <si>
    <t>GET /hosoyte/:idKH</t>
  </si>
  <si>
    <t>Đăng nhập khách hàng A -&gt; mở hồ sơ y tế -&gt; bắt request /hosoyte/ID_A -&gt; gửi sang Repeater -&gt; đổi sang ID_B</t>
  </si>
  <si>
    <t>/hosoyte/1 đổi thành /hosoyte/2</t>
  </si>
  <si>
    <t>Không trả về thông tin bệnh nhân, hồ sơ y tế hoặc lịch sử khám của người khác</t>
  </si>
  <si>
    <t>TC004</t>
  </si>
  <si>
    <t>Xem danh sách lịch khám của khách hàng khác</t>
  </si>
  <si>
    <t>GET /api/lich-user/:idKH</t>
  </si>
  <si>
    <t>Mở mục lịch khám của khách hàng A -&gt; bắt request GET /api/lich-user/ID_A -&gt; gửi sang Repeater -&gt; đổi thành ID_B</t>
  </si>
  <si>
    <t>/api/lich-user/1 đổi thành /api/lich-user/2</t>
  </si>
  <si>
    <t>Chỉ trả lịch khám thuộc tài khoản đang đăng nhập</t>
  </si>
  <si>
    <t>TC005</t>
  </si>
  <si>
    <t>Hủy lịch khám của khách hàng khác</t>
  </si>
  <si>
    <t>POST /api/huy-lich</t>
  </si>
  <si>
    <t>Bắt request hủy lịch của khách hàng A -&gt; gửi sang Repeater -&gt; đổi idLichKham thành lịch của khách hàng B -&gt; Send</t>
  </si>
  <si>
    <t>{"idLichKham": 12}</t>
  </si>
  <si>
    <t>Không hủy được lịch khám không thuộc tài khoản hiện tại</t>
  </si>
  <si>
    <t>TC006</t>
  </si>
  <si>
    <t>Đặt lịch khám gán vào tài khoản khách hàng khác</t>
  </si>
  <si>
    <t>POST /api/dat-lich</t>
  </si>
  <si>
    <t>Bắt request đặt lịch -&gt; gửi sang Repeater -&gt; sửa trường idKH trong body thành ID người khác -&gt; Send</t>
  </si>
  <si>
    <t>{"hoTen":"Nguyen Van A","idKH":2,"idBacSi":1,"idKhoa":1,"ngayKham":"20/07/2026","gioKham":"08:00","lyDo":"Kiem thu IDOR"}</t>
  </si>
  <si>
    <t>Server không cho client tự quyết định idKH; lịch phải gắn với user đã xác thực</t>
  </si>
  <si>
    <t>Truy cập danh sách tài khoản khách hàng khi không phải admin</t>
  </si>
  <si>
    <t>GET /api/taikhoan</t>
  </si>
  <si>
    <t>Không đăng nhập admin -&gt; trong Repeater, tạo request GET /api/taikhoan hoặc lấy từ HTTP history của trang admin -&gt; Send</t>
  </si>
  <si>
    <t>Người chưa có quyền admin không xem được danh sách tài khoản</t>
  </si>
  <si>
    <t>Thêm bác sĩ khi không có quyền admin</t>
  </si>
  <si>
    <t>POST /api/admin/bacsi</t>
  </si>
  <si>
    <t>Gửi request thêm bác sĩ sang Repeater -&gt; xóa mọi header không cần thiết -&gt; gửi trực tiếp request</t>
  </si>
  <si>
    <t>{"hoTenBacSi":"Bac si test","hocVi":"ThS","idKhoa":1}</t>
  </si>
  <si>
    <t>Server từ chối nếu không có xác thực admin</t>
  </si>
  <si>
    <t>Cập nhật trạng thái lịch khám bằng tài khoản thường</t>
  </si>
  <si>
    <t>PUT /api/admin/lichkham/:id</t>
  </si>
  <si>
    <t>Bắt request cập nhật trạng thái lịch trong trang admin hoặc tự tạo trong Repeater -&gt; đổi ID lịch khám -&gt; gửi request</t>
  </si>
  <si>
    <t>PUT /api/admin/lichkham/1 body {"trangThai":"đã xác nhận"}</t>
  </si>
  <si>
    <t>Chỉ admin hợp lệ mới được xác nhận/hủy lịch</t>
  </si>
  <si>
    <t>Xóa tài khoản khách hàng qua API admin</t>
  </si>
  <si>
    <t>DELETE /api/taikhoan/:idKH</t>
  </si>
  <si>
    <t>Trong Repeater, gửi request xóa tài khoản, thử cả trường hợp có ?force=true</t>
  </si>
  <si>
    <t>DELETE /api/taikhoan/2?force=true</t>
  </si>
  <si>
    <t>Không cho xóa tài khoản nếu không có quyền admin và xác nhận hợp lệ</t>
  </si>
  <si>
    <t>Thêm lịch sử khám bệnh trái phép</t>
  </si>
  <si>
    <t>POST /api/admin/lichsu</t>
  </si>
  <si>
    <t>Bắt request thêm lịch sử khám hoặc tự tạo request JSON trong Repeater -&gt; gửi khi không đăng nhập admin</t>
  </si>
  <si>
    <t>{"ngayKham":"2026-07-20","ketLuan":"Du lieu test","chiTiet":"Kiem thu phan quyen","idBacSi":1,"idKhoa":1,"idHoSoYTe":1}</t>
  </si>
  <si>
    <t>Người không phải admin không tạo được lịch sử khám bệnh</t>
  </si>
  <si>
    <t>Xem dashboard và hoạt động gần đây khi không có quyền admin</t>
  </si>
  <si>
    <t>GET /api/dashboard, GET /api/hoatdong</t>
  </si>
  <si>
    <t>Gửi request trực tiếp trong Repeater khi chưa đăng nhập admin -&gt; quan sát dữ liệu thống kê và log hoạt động trả về</t>
  </si>
  <si>
    <t>Dashboard và log hoạt động chỉ hiển thị cho admin hợp lệ</t>
  </si>
  <si>
    <t>Brute force mật khẩu đăng nhập</t>
  </si>
  <si>
    <t>POST /login</t>
  </si>
  <si>
    <t>Bắt request login -&gt; Send to Intruder -&gt; đặt payload tại trường matkhau -&gt; thêm danh sách mật khẩu sai -&gt; chạy attack -&gt; quan sát số lần thử và phản hồi</t>
  </si>
  <si>
    <t>123456, admin123, 111111, password, test123</t>
  </si>
  <si>
    <t>Sau nhiều lần sai phải có rate limit, khóa tạm, captcha hoặc delay</t>
  </si>
  <si>
    <t>Bypass đăng nhập bằng SQL Injection</t>
  </si>
  <si>
    <t>Gửi request login sang Repeater -&gt; thay sdt hoặc matkhau bằng payload SQLi -&gt; Send</t>
  </si>
  <si>
    <t>{"sdt":"' OR '1'='1","matkhau":"' OR '1'='1"}</t>
  </si>
  <si>
    <t>Không đăng nhập được, không hiện lỗi SQL/database</t>
  </si>
  <si>
    <t>Đăng ký bằng mật khẩu yếu</t>
  </si>
  <si>
    <t>POST /register</t>
  </si>
  <si>
    <t>Bắt request đăng ký -&gt; gửi sang Repeater -&gt; đổi matkhau thành mật khẩu quá ngắn/dễ đoán -&gt; Send</t>
  </si>
  <si>
    <t>{"hoten":"User Test","sdt":"0999999999","matkhau":"123"}</t>
  </si>
  <si>
    <t>Server phải từ chối mật khẩu yếu theo chính sách mật khẩu</t>
  </si>
  <si>
    <t>Đổi mật khẩu không có phiên đăng nhập hợp lệ</t>
  </si>
  <si>
    <t>PUT /api/khachhang/:idKH/changepassword</t>
  </si>
  <si>
    <t>Bắt request đổi mật khẩu -&gt; gửi sang Repeater -&gt; xóa mọi header xác thực nếu có -&gt; gửi lại request trực tiếp</t>
  </si>
  <si>
    <t>PUT /api/khachhang/1/changepassword body {"oldPassword":"123456","newPassword":"1234567"}</t>
  </si>
  <si>
    <t>Chỉ chủ tài khoản đang đăng nhập mới được đổi mật khẩu</t>
  </si>
  <si>
    <t>Truy cập API riêng tư sau khi logout/xóa localStorage</t>
  </si>
  <si>
    <t>Đăng xuất trên UI hoặc xóa localStorage trong browser -&gt; dùng Repeater gửi lại request lấy thông tin khách hàng</t>
  </si>
  <si>
    <t>GET /api/khachhang/1 không có cookie/token</t>
  </si>
  <si>
    <t>API riêng tư phải yêu cầu xác thực, không chỉ dựa vào localStorage phía client</t>
  </si>
  <si>
    <t>Module</t>
  </si>
  <si>
    <t>API chính</t>
  </si>
  <si>
    <t>Số TC</t>
  </si>
  <si>
    <t>Xác thực và tài khoản</t>
  </si>
  <si>
    <t>POST /register; POST /login</t>
  </si>
  <si>
    <t>Quản lý khoa</t>
  </si>
  <si>
    <t>GET/POST/PUT/DELETE /api/khoa</t>
  </si>
  <si>
    <t>Quản lý bác sĩ</t>
  </si>
  <si>
    <t>/api/bacsi-all; /api/bacsi/:idKhoa; /api/admin/bacsi</t>
  </si>
  <si>
    <t>Module Xác thực và tài khoản</t>
  </si>
  <si>
    <t>TC-ID</t>
  </si>
  <si>
    <t>Tên Test Case</t>
  </si>
  <si>
    <t>Mô tả</t>
  </si>
  <si>
    <t>Điều kiện tiên quyết</t>
  </si>
  <si>
    <t>Các bước thực hiện</t>
  </si>
  <si>
    <t>Dữ liệu đầu vào</t>
  </si>
  <si>
    <t>Đăng ký thành công</t>
  </si>
  <si>
    <t>Xác minh tạo tài khoản khách hàng bằng dữ liệu hợp lệ.</t>
  </si>
  <si>
    <t>SĐT chưa tồn tại trong DB.</t>
  </si>
  <si>
    <t>1. Chọn POST. 2. Gửi /register với JSON hợp lệ.</t>
  </si>
  <si>
    <t>{"hoten":"Nguyễn Văn A","sdt":"0987654321","matkhau":"123456"}</t>
  </si>
  <si>
    <t>HTTP 200; message = "Đăng ký thành công!"; tạo khách hàng và hồ sơ y tế.</t>
  </si>
  <si>
    <t>Thiếu họ tên</t>
  </si>
  <si>
    <t>Kiểm tra trường hoten bắt buộc.</t>
  </si>
  <si>
    <t>Backend và DB hoạt động.</t>
  </si>
  <si>
    <t>Gửi POST /register nhưng không có hoten.</t>
  </si>
  <si>
    <t>{"sdt":"0987654321","matkhau":"123456"}</t>
  </si>
  <si>
    <t>HTTP 400; thông báo yêu cầu nhập đầy đủ Họ tên, SĐT và Mật khẩu.</t>
  </si>
  <si>
    <t>SĐT chỉ có 9 số</t>
  </si>
  <si>
    <t>Kiểm tra giới hạn dưới độ dài số điện thoại.</t>
  </si>
  <si>
    <t>Không có.</t>
  </si>
  <si>
    <t>Gửi POST /register với SĐT 9 chữ số.</t>
  </si>
  <si>
    <t>sdt = "098765432"</t>
  </si>
  <si>
    <t>HTTP 400; message = "Số điện thoại không hợp lệ!".</t>
  </si>
  <si>
    <t>SĐT đã đăng ký</t>
  </si>
  <si>
    <t>Kiểm tra ràng buộc duy nhất của số điện thoại.</t>
  </si>
  <si>
    <t>SĐT đã tồn tại trong KHACHHANG.</t>
  </si>
  <si>
    <t>Gửi POST /register bằng SĐT đã có.</t>
  </si>
  <si>
    <t>sdt = "0987654321"</t>
  </si>
  <si>
    <t>HTTP 400; message = "Số điện thoại này đã được đăng ký!".</t>
  </si>
  <si>
    <t>SQL Injection tại họ tên</t>
  </si>
  <si>
    <t>Kiểm tra API xử lý payload SQLi như dữ liệu thường.</t>
  </si>
  <si>
    <t>Môi trường test, không dùng dữ liệu thật.</t>
  </si>
  <si>
    <t>Gửi POST /register với payload tại hoten.</t>
  </si>
  <si>
    <t>hoten = "' OR 1=1--"</t>
  </si>
  <si>
    <t>Không lỗi server; không bypass kiểm tra; không tạo tài khoản trái phép.</t>
  </si>
  <si>
    <t>XSS tại họ tên</t>
  </si>
  <si>
    <t>Kiểm tra script không được thực thi.</t>
  </si>
  <si>
    <t>Gửi POST /register với chuỗi script trong hoten.</t>
  </si>
  <si>
    <t>hoten = "&lt;script&gt;alert(1)&lt;/script&gt;"</t>
  </si>
  <si>
    <t>Script không thực thi; dữ liệu được xử lý an toàn như văn bản.</t>
  </si>
  <si>
    <t>Admin đăng nhập thành công</t>
  </si>
  <si>
    <t>Xác minh đăng nhập tài khoản quản trị.</t>
  </si>
  <si>
    <t>Tài khoản Admin hợp lệ tồn tại.</t>
  </si>
  <si>
    <t>Gửi POST /login bằng thông tin Admin đúng.</t>
  </si>
  <si>
    <t>{"sdt":"0900000000","matkhau":"admin123"}</t>
  </si>
  <si>
    <t>HTTP 200; phản hồi đăng nhập thành công; isAdmin = true.</t>
  </si>
  <si>
    <t>Khách hàng đăng nhập thành công</t>
  </si>
  <si>
    <t>Xác minh đăng nhập khách hàng.</t>
  </si>
  <si>
    <t>Tài khoản khách hàng hợp lệ tồn tại.</t>
  </si>
  <si>
    <t>Gửi POST /login bằng SĐT và mật khẩu đúng.</t>
  </si>
  <si>
    <t>HTTP 200; trả thông tin khách hàng và thông báo đăng nhập thành công.</t>
  </si>
  <si>
    <t>Sai mật khẩu</t>
  </si>
  <si>
    <t>Kiểm tra từ chối thông tin đăng nhập sai.</t>
  </si>
  <si>
    <t>SĐT tồn tại.</t>
  </si>
  <si>
    <t>Gửi POST /login với mật khẩu sai.</t>
  </si>
  <si>
    <t>{"sdt":"0987654321","matkhau":"abcdef"}</t>
  </si>
  <si>
    <t>HTTP 401 hoặc phản hồi lỗi theo source; không đăng nhập; có message phù hợp.</t>
  </si>
  <si>
    <t>Thiếu số điện thoại</t>
  </si>
  <si>
    <t>Kiểm tra trường sdt bắt buộc.</t>
  </si>
  <si>
    <t>Gửi POST /login không có sdt.</t>
  </si>
  <si>
    <t>{"matkhau":"123456"}</t>
  </si>
  <si>
    <t>HTTP 400; phản hồi có message lỗi.</t>
  </si>
  <si>
    <t>SQL Injection khi đăng nhập</t>
  </si>
  <si>
    <t>Kiểm tra payload SQLi không bypass xác thực.</t>
  </si>
  <si>
    <t>Gửi POST /login với SQLi ở sdt và matkhau.</t>
  </si>
  <si>
    <t>{"sdt":"' OR 1=1--","matkhau":"' OR 1=1--"}</t>
  </si>
  <si>
    <t>Không đăng nhập; không lộ lỗi SQL hoặc dữ liệu DB.</t>
  </si>
  <si>
    <t>Thời gian phản hồi đăng nhập</t>
  </si>
  <si>
    <t>Kiểm tra ngưỡng phản hồi được nêu trong bộ Postman.</t>
  </si>
  <si>
    <t>Tài khoản hợp lệ; máy chủ ổn định.</t>
  </si>
  <si>
    <t>Gửi POST /login với dữ liệu hợp lệ và đo responseTime.</t>
  </si>
  <si>
    <t>Dữ liệu đăng nhập hợp lệ.</t>
  </si>
  <si>
    <t>Response time &lt; 1000 ms.</t>
  </si>
  <si>
    <t>Module Quản lý khoa</t>
  </si>
  <si>
    <t>Lấy danh sách khoa</t>
  </si>
  <si>
    <t>Kiểm tra API trả danh sách khoa.</t>
  </si>
  <si>
    <t>DB có dữ liệu khoa.</t>
  </si>
  <si>
    <t>Gửi GET /api/khoa.</t>
  </si>
  <si>
    <t>Không có body.</t>
  </si>
  <si>
    <t>HTTP 200; response là JSON Array.</t>
  </si>
  <si>
    <t>Danh sách khoa rỗng</t>
  </si>
  <si>
    <t>Kiểm tra xử lý khi bảng khoa không có dữ liệu.</t>
  </si>
  <si>
    <t>Bảng KHOA rỗng trên môi trường test.</t>
  </si>
  <si>
    <t>HTTP 200; trả mảng rỗng [].</t>
  </si>
  <si>
    <t>Thêm khoa thành công</t>
  </si>
  <si>
    <t>Xác minh tạo khoa với tenKhoa hợp lệ.</t>
  </si>
  <si>
    <t>Tên khoa chưa tồn tại.</t>
  </si>
  <si>
    <t>Gửi POST /api/khoa với body hợp lệ.</t>
  </si>
  <si>
    <t>{"tenKhoa":"Khoa Nhi"}</t>
  </si>
  <si>
    <t>HTTP 200; success=true; có id và thông báo thêm thành công.</t>
  </si>
  <si>
    <t>Tên khoa rỗng</t>
  </si>
  <si>
    <t>Kiểm tra từ chối chuỗi rỗng.</t>
  </si>
  <si>
    <t>Gửi POST /api/khoa với tenKhoa rỗng.</t>
  </si>
  <si>
    <t>{"tenKhoa":""}</t>
  </si>
  <si>
    <t>HTTP 400; không tạo bản ghi.</t>
  </si>
  <si>
    <t>SQL Injection khi thêm khoa</t>
  </si>
  <si>
    <t>Kiểm tra xử lý SQLi ở tenKhoa.</t>
  </si>
  <si>
    <t>Gửi POST /api/khoa với payload SQLi.</t>
  </si>
  <si>
    <t>{"tenKhoa":"' OR 1=1--"}</t>
  </si>
  <si>
    <t>Không lỗi server; không làm thay đổi dữ liệu trái phép.</t>
  </si>
  <si>
    <t>Cập nhật khoa thành công</t>
  </si>
  <si>
    <t>Xác minh sửa tên khoa.</t>
  </si>
  <si>
    <t>ID khoa tồn tại.</t>
  </si>
  <si>
    <t>Gửi PUT /api/khoa/5 với body hợp lệ.</t>
  </si>
  <si>
    <t>{"tenKhoa":"Khoa Nội"}</t>
  </si>
  <si>
    <t>HTTP 200; success=true; thông báo cập nhật thành công.</t>
  </si>
  <si>
    <t>Cập nhật ID không tồn tại</t>
  </si>
  <si>
    <t>Kiểm tra xử lý khi khoa không có trong DB.</t>
  </si>
  <si>
    <t>ID 9999 không tồn tại.</t>
  </si>
  <si>
    <t>Gửi PUT /api/khoa/9999.</t>
  </si>
  <si>
    <t>HTTP 404; không cập nhật dữ liệu.</t>
  </si>
  <si>
    <t>Xóa khoa không có bác sĩ</t>
  </si>
  <si>
    <t>Xác minh xóa khoa không có dữ liệu liên quan.</t>
  </si>
  <si>
    <t>Khoa tồn tại và không có bác sĩ.</t>
  </si>
  <si>
    <t>Gửi DELETE /api/khoa/5.</t>
  </si>
  <si>
    <t>id = 5</t>
  </si>
  <si>
    <t>HTTP 200; xóa thành công.</t>
  </si>
  <si>
    <t>Xóa khoa có bác sĩ, chưa force</t>
  </si>
  <si>
    <t>Kiểm tra yêu cầu xác nhận khi có dữ liệu liên quan.</t>
  </si>
  <si>
    <t>Khoa tồn tại và có bác sĩ.</t>
  </si>
  <si>
    <t>Gửi DELETE /api/khoa/5 không có force=true.</t>
  </si>
  <si>
    <t>Phản hồi requireConfirm=true; chưa xóa dữ liệu.</t>
  </si>
  <si>
    <t>Xóa khoa có bác sĩ với force</t>
  </si>
  <si>
    <t>Kiểm tra luồng xóa bắt buộc sau xác nhận.</t>
  </si>
  <si>
    <t>Khoa có bác sĩ và dữ liệu liên quan; dùng DB test.</t>
  </si>
  <si>
    <t>Gửi DELETE /api/khoa/5?force=true.</t>
  </si>
  <si>
    <t>id = 5; force=true</t>
  </si>
  <si>
    <t>Xóa thành công theo luồng source; success=true.</t>
  </si>
  <si>
    <t xml:space="preserve">Module Quản lý bác sĩ </t>
  </si>
  <si>
    <t>Lấy bác sĩ theo khoa</t>
  </si>
  <si>
    <t>Kiểm tra danh sách bác sĩ của một khoa hợp lệ.</t>
  </si>
  <si>
    <t>idKhoa tồn tại.</t>
  </si>
  <si>
    <t>Gửi GET /api/bacsi/1.</t>
  </si>
  <si>
    <t>idKhoa = 1</t>
  </si>
  <si>
    <t>HTTP 200; response là Array.</t>
  </si>
  <si>
    <t>Khoa không có/không tồn tại</t>
  </si>
  <si>
    <t>Kiểm tra API khi không tìm thấy bác sĩ theo khoa.</t>
  </si>
  <si>
    <t>idKhoa không có dữ liệu.</t>
  </si>
  <si>
    <t>Gửi GET /api/bacsi/9999.</t>
  </si>
  <si>
    <t>idKhoa = 9999</t>
  </si>
  <si>
    <t>Lấy toàn bộ bác sĩ</t>
  </si>
  <si>
    <t>Xác minh endpoint danh sách tổng.</t>
  </si>
  <si>
    <t>DB có bác sĩ.</t>
  </si>
  <si>
    <t>Gửi GET /api/bacsi-all.</t>
  </si>
  <si>
    <t>HTTP 200; trả danh sách bác sĩ dạng Array.</t>
  </si>
  <si>
    <t>Tìm bác sĩ theo tên</t>
  </si>
  <si>
    <t>Kiểm tra tham số q tìm theo họ tên.</t>
  </si>
  <si>
    <t>Có bác sĩ chứa từ khóa Nguyễn.</t>
  </si>
  <si>
    <t>Gửi GET /api/admin/bacsi?q=Nguyễn.</t>
  </si>
  <si>
    <t>q = "Nguyễn"</t>
  </si>
  <si>
    <t>HTTP 200; danh sách có kết quả phù hợp.</t>
  </si>
  <si>
    <t>Tìm kiếm không có kết quả</t>
  </si>
  <si>
    <t>Kiểm tra từ khóa không tồn tại.</t>
  </si>
  <si>
    <t>Không có bản ghi khớp.</t>
  </si>
  <si>
    <t>Gửi GET /api/admin/bacsi?q=abcxyz.</t>
  </si>
  <si>
    <t>q = "abcxyz"</t>
  </si>
  <si>
    <t>SQL Injection tại từ khóa tìm kiếm</t>
  </si>
  <si>
    <t>Kiểm tra q không gây lỗi hoặc bypass truy vấn.</t>
  </si>
  <si>
    <t>Gửi GET với q là payload SQLi.</t>
  </si>
  <si>
    <t>q = "' OR 1=1--"</t>
  </si>
  <si>
    <t>Không lỗi server; không trả dữ liệu ngoài điều kiện truy vấn.</t>
  </si>
  <si>
    <t>Thêm bác sĩ thành công</t>
  </si>
  <si>
    <t>Xác minh tạo bác sĩ với dữ liệu hợp lệ.</t>
  </si>
  <si>
    <t>idKhoa=1 tồn tại.</t>
  </si>
  <si>
    <t>Gửi POST /api/admin/bacsi.</t>
  </si>
  <si>
    <t>{"hoTenBacSi":"Nguyễn Văn A","hocVi":"BSCKII","idKhoa":1}</t>
  </si>
  <si>
    <t>HTTP 200; success=true; có id; message thêm thành công.</t>
  </si>
  <si>
    <t>Thiếu tên bác sĩ</t>
  </si>
  <si>
    <t>Kiểm tra trường hoTenBacSi bắt buộc.</t>
  </si>
  <si>
    <t>Gửi POST không có hoTenBacSi.</t>
  </si>
  <si>
    <t>{"hocVi":"BSCKII","idKhoa":1}</t>
  </si>
  <si>
    <t>HTTP 400; không tạo bác sĩ.</t>
  </si>
  <si>
    <t>Khoa không tồn tại khi thêm bác sĩ</t>
  </si>
  <si>
    <t>Kiểm tra ràng buộc idKhoa.</t>
  </si>
  <si>
    <t>idKhoa=9999 không tồn tại.</t>
  </si>
  <si>
    <t>Gửi POST /api/admin/bacsi với idKhoa không hợp lệ.</t>
  </si>
  <si>
    <t>{"hoTenBacSi":"Bác sĩ Test","hocVi":"ThS","idKhoa":9999}</t>
  </si>
  <si>
    <t>API từ chối tạo; không vi phạm khóa ngoại; trả lỗi phù hợp.</t>
  </si>
  <si>
    <t>Cập nhật bác sĩ thành công</t>
  </si>
  <si>
    <t>Xác minh sửa thông tin bác sĩ.</t>
  </si>
  <si>
    <t>ID bác sĩ tồn tại; idKhoa=2 tồn tại.</t>
  </si>
  <si>
    <t>Gửi PUT /api/admin/bacsi/5.</t>
  </si>
  <si>
    <t>{"hoTenBacSi":"Nguyễn Văn B","hocVi":"PGS.TS","idKhoa":2}</t>
  </si>
  <si>
    <t>HTTP 200; dữ liệu được cập nhật.</t>
  </si>
  <si>
    <t>Xóa bác sĩ có lịch khám, chưa force</t>
  </si>
  <si>
    <t>Kiểm tra yêu cầu xác nhận xóa dữ liệu liên quan.</t>
  </si>
  <si>
    <t>Bác sĩ có lịch khám.</t>
  </si>
  <si>
    <t>Gửi DELETE /api/admin/bacsi/5.</t>
  </si>
  <si>
    <t>id=5; không truyền force</t>
  </si>
  <si>
    <t>Phản hồi requireConfirm=true; chưa xóa bác sĩ.</t>
  </si>
  <si>
    <t>Xóa bác sĩ với force=true</t>
  </si>
  <si>
    <t>Kiểm tra xóa bắt buộc sau xác nhận.</t>
  </si>
  <si>
    <t>Bác sĩ có dữ liệu liên quan; dùng DB test.</t>
  </si>
  <si>
    <t>Gửi DELETE /api/admin/bacsi/5?force=true.</t>
  </si>
  <si>
    <t>id=5; force=true</t>
  </si>
  <si>
    <t>Xóa dữ liệu liên quan và bác sĩ theo luồng source; success=true.</t>
  </si>
  <si>
    <t>Injection và XSS</t>
  </si>
  <si>
    <t>CORS, CSRF và Thiếu xác thực API</t>
  </si>
  <si>
    <t>Business Logic và toàn vẹn dữ liệu</t>
  </si>
  <si>
    <t>Đầu ra mong đợi</t>
  </si>
  <si>
    <t>SQL Injection ở chức năng tìm kiếm bác sĩ admin</t>
  </si>
  <si>
    <t>GET /api/admin/bacsi?q=</t>
  </si>
  <si>
    <t>Bắt request tìm bác sĩ -&gt; gửi sang Repeater -&gt; thay query q bằng payload SQLi -&gt; Send</t>
  </si>
  <si>
    <t>/api/admin/bacsi?q=' OR '1'='1--</t>
  </si>
  <si>
    <t>Không lỗi SQL, không trả dữ liệu bất thường ngoài quyền cho phép (sử dụng Parameterized Queries)</t>
  </si>
  <si>
    <t>SQL Injection ở tham số ID trên URL</t>
  </si>
  <si>
    <t>GET /api/khachhang/:idKH
GET /api/admin/lichsu/:id</t>
  </si>
  <si>
    <t>Gửi request có ID sang Repeater -&gt; thêm ký tự ', OR 1=1, hoặc chuỗi không phải số vào ID -&gt; quan sát response</t>
  </si>
  <si>
    <t>/api/khachhang/1', /api/admin/lichsu/1 OR 1=1</t>
  </si>
  <si>
    <t>Không lộ lỗi database, không trả dữ liệu ngoài phạm vi</t>
  </si>
  <si>
    <t>Stored XSS trong thông tin cá nhân khách hàng</t>
  </si>
  <si>
    <t>Bắt request cập nhật hồ sơ -&gt; chèn payload XSS vào hoTen hoặc diachi -&gt; mở lại trang tài khoản/admin danh sách tài khoản để kiểm tra</t>
  </si>
  <si>
    <t>{"hoTen":"&lt;img src=x onerror=alert(1)&gt;","diachi":"&lt;script&gt;alert(1)&lt;/script&gt;"}</t>
  </si>
  <si>
    <t>Payload phải được encode/làm sạch, không thực thi JavaScript</t>
  </si>
  <si>
    <t>Stored XSS trong tên khoa hoặc tên bác sĩ</t>
  </si>
  <si>
    <t>POST /api/khoa
POST /api/admin/bacsi</t>
  </si>
  <si>
    <t>Bắt request thêm khoa/bác sĩ -&gt; thay tên bằng payload XSS -&gt; mở lại trang quản trị danh sách khoa/bác sĩ</t>
  </si>
  <si>
    <t>{"tenKhoa":"&lt;img src=x onerror=alert(1)&gt;"}, {"hoTenBacSi":"&lt;script&gt;alert(1)&lt;/script&gt;","hocVi":"BS","idKhoa":1}</t>
  </si>
  <si>
    <t>Giao diện admin không thực thi script từ dữ liệu đã lưu</t>
  </si>
  <si>
    <t>Stored XSS trong lý do khám/kết luận khám</t>
  </si>
  <si>
    <t>POST /api/dat-lich
POST /api/admin/lichsu</t>
  </si>
  <si>
    <t>Gửi request đặt lịch hoặc thêm lịch sử khám sang Repeater -&gt; chèn payload vào lyDo, ketLuan, chiTiet -&gt; mở trang admin/khách hàng để xem dữ liệu</t>
  </si>
  <si>
    <t>lyDo=&lt;svg onload=alert(1)&gt;, ketLuan=&lt;img src=x onerror=alert(1)&gt;</t>
  </si>
  <si>
    <t>Payload được hiển thị an toàn, không chạy script</t>
  </si>
  <si>
    <t>CORS cấu hình wildcard cho phép tất cả các nguồn</t>
  </si>
  <si>
    <t>Các API /api/*</t>
  </si>
  <si>
    <t>Bắt một request API nhạy cảm (như /api/taikhoan) -&gt; gửi sang Repeater -&gt; thêm header Origin: https://evil.com -&gt; Send -&gt; kiểm tra Response headers</t>
  </si>
  <si>
    <t>Header Origin: https://evil.com</t>
  </si>
  <si>
    <t>Server không được phản hồi kèm Access-Control-Allow-Origin: * hoặc Access-Control-Allow-Credentials: true khi có Origin lạ</t>
  </si>
  <si>
    <t>Thay đổi thông tin/hủy lịch qua request giả mạo (Cross-site) do thiếu Token</t>
  </si>
  <si>
    <t>POST /api/huy-lich
PUT /api/khachhang/:idKH</t>
  </si>
  <si>
    <t>Tạo trang HTML chạy từ nguồn khác (ví dụ: http://evil.com giả lập) gửi request POST/PUT tới API hủy lịch hoặc sửa hồ sơ mà không cần gửi kèm Token xác thực</t>
  </si>
  <si>
    <t>Request hủy lịch {"idLichKham": 12} gửi từ bên ngoài hệ thống</t>
  </si>
  <si>
    <t>Server phải từ chối xử lý yêu cầu thay đổi trạng thái nếu thiếu Session/JWT hợp lệ và CSRF Token bảo vệ</t>
  </si>
  <si>
    <t>Thực hiện thao tác Admin nhạy cảm từ nguồn khác</t>
  </si>
  <si>
    <t>DELETE /api/khoa/:id
DELETE /api/admin/bacsi/:id</t>
  </si>
  <si>
    <t>Tạo request giả mạo tự động gửi lệnh DELETE khoa/bác sĩ từ domain bên ngoài mà không có thông tin xác thực admin hợp lệ của server</t>
  </si>
  <si>
    <t>DELETE /api/khoa/1?force=true</t>
  </si>
  <si>
    <t>Request bị từ chối; hệ thống yêu cầu thông tin phiên làm việc hợp lệ của Quản trị viên</t>
  </si>
  <si>
    <t>Thiếu các Security Headers quan trọng chống clickjacking/sniffing</t>
  </si>
  <si>
    <t>Các API và tài nguyên tĩnh</t>
  </si>
  <si>
    <t>Trong HTTP history, chọn response bất kỳ -&gt; xem tab Response headers</t>
  </si>
  <si>
    <t>Kiểm tra sự hiện diện của các header an toàn</t>
  </si>
  <si>
    <t>Phải có các header như Content-Security-Policy, X-Content-Type-Options, X-Frame-Options, Referrer-Policy</t>
  </si>
  <si>
    <t>Đặt trùng lịch cùng bác sĩ, ngày, giờ</t>
  </si>
  <si>
    <t>Bắt request đặt lịch hợp lệ -&gt; gửi sang Repeater -&gt; nhấn Send 2 lần với cùng idBacSi, ngayKham, gioKham</t>
  </si>
  <si>
    <t>Cùng idBacSi=1, ngayKham=20/07/2026, gioKham=08:00</t>
  </si>
  <si>
    <t>Lần đặt thứ hai phải bị từ chối vì trùng lịch</t>
  </si>
  <si>
    <t>Đặt lịch vào ngày trong quá khứ</t>
  </si>
  <si>
    <t>Gửi request đặt lịch sang Repeater -&gt; sửa ngayKham thành ngày đã qua -&gt; Send</t>
  </si>
  <si>
    <t>ngayKham=01/01/2020, gioKham=08:00</t>
  </si>
  <si>
    <t>Server không cho đặt lịch trong quá khứ</t>
  </si>
  <si>
    <t>Đặt lịch với bác sĩ không thuộc khoa đã chọn</t>
  </si>
  <si>
    <t>Chọn một bác sĩ thuộc khoa A -&gt; trong Repeater, đổi idKhoa sang khoa B -&gt; gửi request</t>
  </si>
  <si>
    <t>idBacSi=1, idKhoa=999 hoặc một khoa khác với khoa của bác sĩ</t>
  </si>
  <si>
    <t>Server kiểm tra quan hệ bác sĩ-khoa và từ chối dữ liệu không hợp lệ</t>
  </si>
  <si>
    <t>Lạm dụng force=true để xóa dây chuyền dữ liệu</t>
  </si>
  <si>
    <t>DELETE /api/khoa/:id?force=true
DELETE /api/taikhoan/:idKH?force=true 
DELETE /api/admin/hosoyte/:id?force=true</t>
  </si>
  <si>
    <t>Bắt request xóa có xác nhận trong admin -&gt; gửi sang Repeater -&gt; thêm/sửa force=true trực tiếp -&gt; Send</t>
  </si>
  <si>
    <t>Chỉ admin hợp lệ sau xác nhận rõ ràng mới được xóa dây chuyền; user thường không được gọi trực tiếp</t>
  </si>
  <si>
    <t>Đặt lịch khám</t>
  </si>
  <si>
    <t>POST /api/dat-lich; GET /api/lich-user/:idKH; POST /api/huy-lich</t>
  </si>
  <si>
    <t>Hồ sơ y tế</t>
  </si>
  <si>
    <t>/api/admin/hosoyte; /hosoyte/:idKH</t>
  </si>
  <si>
    <t>Quản lý lịch khám</t>
  </si>
  <si>
    <t>GET/POST/PUT/DELETE /api/admin/lichkham</t>
  </si>
  <si>
    <t xml:space="preserve">Module Đặt lịch khám </t>
  </si>
  <si>
    <t>Ngày Test</t>
  </si>
  <si>
    <t>Đặt lịch thành công</t>
  </si>
  <si>
    <t>Xác minh tạo lịch khám với dữ liệu hợp lệ.</t>
  </si>
  <si>
    <t>Khách hàng và bác sĩ tồn tại; khung giờ chưa bị trùng.</t>
  </si>
  <si>
    <t>Gửi POST /api/dat-lich với body hợp lệ.</t>
  </si>
  <si>
    <t>{"idKH":1,"idBacSi":2,"ngayKham":"2026-07-20","gioKham":"08:00"}</t>
  </si>
  <si>
    <t>HTTP 200; success=true; lịch được tạo.</t>
  </si>
  <si>
    <t>Thiếu idKH</t>
  </si>
  <si>
    <t>Kiểm tra idKH bắt buộc.</t>
  </si>
  <si>
    <t>Gửi POST /api/dat-lich không có idKH.</t>
  </si>
  <si>
    <t>{"idBacSi":2,"ngayKham":"2026-07-20","gioKham":"08:00"}</t>
  </si>
  <si>
    <t>HTTP 400; có message lỗi.</t>
  </si>
  <si>
    <t>Thiếu idBacSi</t>
  </si>
  <si>
    <t>Kiểm tra idBacSi bắt buộc.</t>
  </si>
  <si>
    <t>Gửi POST /api/dat-lich không có idBacSi.</t>
  </si>
  <si>
    <t>{"idKH":1,"ngayKham":"2026-07-20","gioKham":"08:00"}</t>
  </si>
  <si>
    <t>HTTP 400; không tạo lịch.</t>
  </si>
  <si>
    <t>Khách hàng không tồn tại</t>
  </si>
  <si>
    <t>Kiểm tra ràng buộc idKH.</t>
  </si>
  <si>
    <t>idKH=9999 không tồn tại.</t>
  </si>
  <si>
    <t>Gửi POST /api/dat-lich.</t>
  </si>
  <si>
    <t>idKH=9999; các trường khác hợp lệ</t>
  </si>
  <si>
    <t>HTTP 404; không tạo lịch.</t>
  </si>
  <si>
    <t>Bác sĩ không tồn tại</t>
  </si>
  <si>
    <t>Kiểm tra ràng buộc idBacSi.</t>
  </si>
  <si>
    <t>idBacSi=9999 không tồn tại.</t>
  </si>
  <si>
    <t>idBacSi=9999; các trường khác hợp lệ</t>
  </si>
  <si>
    <t>Trùng lịch khám</t>
  </si>
  <si>
    <t>Kiểm tra cùng bác sĩ, ngày và giờ đã được đặt.</t>
  </si>
  <si>
    <t>Đã có lịch của bác sĩ 2 lúc 08:00 ngày 20/07/2026.</t>
  </si>
  <si>
    <t>Gửi lại request trùng khung giờ.</t>
  </si>
  <si>
    <t>HTTP 400; thông báo trùng lịch; không tạo bản ghi mới.</t>
  </si>
  <si>
    <t>TC007</t>
  </si>
  <si>
    <t>Ngày khám sai định dạng</t>
  </si>
  <si>
    <t>Kiểm tra format ngày không đúng chuẩn API.</t>
  </si>
  <si>
    <t>Gửi POST với ngayKham dạng DD/MM/YYYY.</t>
  </si>
  <si>
    <t>ngayKham = "20/07/2026"</t>
  </si>
  <si>
    <t>HTTP 400.</t>
  </si>
  <si>
    <t>TC008</t>
  </si>
  <si>
    <t>SQL Injection trong dữ liệu đặt lịch</t>
  </si>
  <si>
    <t>Kiểm tra payload SQLi không gây lỗi server.</t>
  </si>
  <si>
    <t>Gửi request có payload SQLi tại trường ID/chuỗi.</t>
  </si>
  <si>
    <t>idKH = "' OR 1=1--"</t>
  </si>
  <si>
    <t>Không lỗi server; không tạo lịch trái phép.</t>
  </si>
  <si>
    <t>TC009</t>
  </si>
  <si>
    <t>Xem lịch của khách hàng</t>
  </si>
  <si>
    <t>Xác minh lấy danh sách lịch theo idKH hợp lệ.</t>
  </si>
  <si>
    <t>Khách hàng 1 có lịch khám.</t>
  </si>
  <si>
    <t>Gửi GET /api/lich-user/1.</t>
  </si>
  <si>
    <t>idKH=1</t>
  </si>
  <si>
    <t>TC010</t>
  </si>
  <si>
    <t>Khách hàng chưa có lịch</t>
  </si>
  <si>
    <t>Kiểm tra danh sách rỗng.</t>
  </si>
  <si>
    <t>idKH tồn tại nhưng chưa có lịch.</t>
  </si>
  <si>
    <t>Gửi GET /api/lich-user/{idKH}.</t>
  </si>
  <si>
    <t>idKH hợp lệ chưa có lịch</t>
  </si>
  <si>
    <t>HTTP 200; trả [].</t>
  </si>
  <si>
    <t>TC011</t>
  </si>
  <si>
    <t>Hủy lịch thành công</t>
  </si>
  <si>
    <t>Xác minh hủy một lịch tồn tại.</t>
  </si>
  <si>
    <t>idLichKham tồn tại và được phép hủy.</t>
  </si>
  <si>
    <t>Gửi POST /api/huy-lich.</t>
  </si>
  <si>
    <t>{"idLichKham":10}</t>
  </si>
  <si>
    <t>HTTP 200; success=true; lịch được hủy.</t>
  </si>
  <si>
    <t>TC012</t>
  </si>
  <si>
    <t>Hủy lịch không tồn tại</t>
  </si>
  <si>
    <t>Kiểm tra ID lịch không có trong DB.</t>
  </si>
  <si>
    <t>idLichKham=9999 không tồn tại.</t>
  </si>
  <si>
    <t>{"idLichKham":9999}</t>
  </si>
  <si>
    <t>HTTP 404; có message lỗi; không thay đổi dữ liệu.</t>
  </si>
  <si>
    <t>Module Hồ sơ y tế</t>
  </si>
  <si>
    <t>Lấy danh sách hồ sơ y tế</t>
  </si>
  <si>
    <t>Xác minh danh sách hồ sơ phía quản trị.</t>
  </si>
  <si>
    <t>DB có hồ sơ y tế.</t>
  </si>
  <si>
    <t>Gửi GET /api/admin/hosoyte.</t>
  </si>
  <si>
    <t>Danh sách hồ sơ rỗng</t>
  </si>
  <si>
    <t>Kiểm tra bảng hồ sơ không có dữ liệu.</t>
  </si>
  <si>
    <t>Bảng HOSOYTE rỗng trên môi trường test.</t>
  </si>
  <si>
    <t>Thêm hồ sơ y tế thành công</t>
  </si>
  <si>
    <t>Tạo hồ sơ cho khách hàng chưa có hồ sơ.</t>
  </si>
  <si>
    <t>idKH=5 tồn tại và chưa có hồ sơ.</t>
  </si>
  <si>
    <t>Gửi POST /api/admin/hosoyte.</t>
  </si>
  <si>
    <t>{"idKH":5}</t>
  </si>
  <si>
    <t>HTTP 200; success=true; message thêm hồ sơ thành công.</t>
  </si>
  <si>
    <t>Gửi POST /api/admin/hosoyte với body rỗng.</t>
  </si>
  <si>
    <t>{}</t>
  </si>
  <si>
    <t>HTTP 400; không tạo hồ sơ.</t>
  </si>
  <si>
    <t>Kiểm tra ràng buộc khách hàng.</t>
  </si>
  <si>
    <t>{"idKH":9999}</t>
  </si>
  <si>
    <t>HTTP 400; message = "Khách hàng không tồn tại!".</t>
  </si>
  <si>
    <t>Khách hàng đã có hồ sơ</t>
  </si>
  <si>
    <t>Kiểm tra mỗi khách hàng chỉ có một hồ sơ.</t>
  </si>
  <si>
    <t>idKH đã có hồ sơ y tế.</t>
  </si>
  <si>
    <t>{"idKH":1}</t>
  </si>
  <si>
    <t>HTTP 400; message = "Khách hàng này đã có hồ sơ y tế!".</t>
  </si>
  <si>
    <t>Xem chi tiết hồ sơ</t>
  </si>
  <si>
    <t>Xác minh lấy hồ sơ theo ID hợp lệ.</t>
  </si>
  <si>
    <t>idHoSoYTe=5 tồn tại.</t>
  </si>
  <si>
    <t>Gửi GET /api/admin/hosoyte/5.</t>
  </si>
  <si>
    <t>id=5</t>
  </si>
  <si>
    <t>HTTP 200; JSON có idHoSoYTe, idKH, hoTen.</t>
  </si>
  <si>
    <t>Hồ sơ không tồn tại</t>
  </si>
  <si>
    <t>Kiểm tra ID không có trong DB.</t>
  </si>
  <si>
    <t>id=9999 không tồn tại.</t>
  </si>
  <si>
    <t>Gửi GET /api/admin/hosoyte/9999.</t>
  </si>
  <si>
    <t>id=9999</t>
  </si>
  <si>
    <t>HTTP 404.</t>
  </si>
  <si>
    <t>Xóa hồ sơ không có lịch sử</t>
  </si>
  <si>
    <t>Xác minh xóa hồ sơ độc lập.</t>
  </si>
  <si>
    <t>Hồ sơ tồn tại, không có lịch sử khám.</t>
  </si>
  <si>
    <t>Gửi DELETE /api/admin/hosoyte/5.</t>
  </si>
  <si>
    <t>Xóa hồ sơ có lịch sử, chưa force</t>
  </si>
  <si>
    <t>Kiểm tra yêu cầu xác nhận.</t>
  </si>
  <si>
    <t>Hồ sơ có lịch sử khám.</t>
  </si>
  <si>
    <t>Gửi DELETE /api/admin/hosoyte/5 không force.</t>
  </si>
  <si>
    <t>Phản hồi requireConfirm=true; chưa xóa.</t>
  </si>
  <si>
    <t>Xóa hồ sơ có lịch sử với force</t>
  </si>
  <si>
    <t>Kiểm tra xóa bắt buộc.</t>
  </si>
  <si>
    <t>Hồ sơ có lịch sử; dữ liệu test đã sao lưu.</t>
  </si>
  <si>
    <t>Gửi DELETE /api/admin/hosoyte/5?force=true.</t>
  </si>
  <si>
    <t>Xóa lịch sử liên quan và hồ sơ; success=true.</t>
  </si>
  <si>
    <t>Khách hàng xem hồ sơ và lịch sử</t>
  </si>
  <si>
    <t>Kiểm tra cấu trúc dữ liệu hồ sơ phía người dùng.</t>
  </si>
  <si>
    <t>idKH=1 có hồ sơ và lịch sử khám.</t>
  </si>
  <si>
    <t>Gửi GET /hosoyte/1.</t>
  </si>
  <si>
    <t>HTTP 200; có benhnhan và lichsu; lichsu là Array có dữ liệu.</t>
  </si>
  <si>
    <t>Module Quản lý lịch khám</t>
  </si>
  <si>
    <t>Lấy danh sách lịch khám</t>
  </si>
  <si>
    <t>Xác minh danh sách phía quản trị.</t>
  </si>
  <si>
    <t>DB có lịch khám.</t>
  </si>
  <si>
    <t>Gửi GET /api/admin/lichkham.</t>
  </si>
  <si>
    <t>Danh sách lịch khám rỗng</t>
  </si>
  <si>
    <t>Kiểm tra không có lịch.</t>
  </si>
  <si>
    <t>Bảng lịch khám rỗng.</t>
  </si>
  <si>
    <t>Thêm lịch khám thành công</t>
  </si>
  <si>
    <t>Admin tạo lịch với dữ liệu đầy đủ.</t>
  </si>
  <si>
    <t>Khách hàng, bác sĩ, khoa tồn tại; không trùng lịch.</t>
  </si>
  <si>
    <t>Gửi POST /api/admin/lichkham.</t>
  </si>
  <si>
    <t>{"idKH":5,"hoTen":"Nguyễn Văn A","lyDo":"Đau bụng","ngayKham":"2026-07-21","gioKham":"09:30","idBacSi":2,"idKhoa":1}</t>
  </si>
  <si>
    <t>HTTP 200; success=true; message thêm lịch thành công.</t>
  </si>
  <si>
    <t>Gửi POST không có idKH.</t>
  </si>
  <si>
    <t>Body đầy đủ trừ idKH</t>
  </si>
  <si>
    <t>Thiếu ngày khám</t>
  </si>
  <si>
    <t>Kiểm tra ngayKham bắt buộc.</t>
  </si>
  <si>
    <t>Gửi POST không có ngayKham.</t>
  </si>
  <si>
    <t>Body đầy đủ trừ ngayKham</t>
  </si>
  <si>
    <t>Kiểm tra idKH không hợp lệ.</t>
  </si>
  <si>
    <t>Cập nhật trạng thái đã xác nhận</t>
  </si>
  <si>
    <t>Xác minh chuyển trạng thái hợp lệ.</t>
  </si>
  <si>
    <t>Lịch khám tồn tại.</t>
  </si>
  <si>
    <t>Gửi PUT /api/admin/lichkham/5.</t>
  </si>
  <si>
    <t>{"trangThai":"đã xác nhận"}</t>
  </si>
  <si>
    <t>HTTP 200; success=true; trạng thái được cập nhật.</t>
  </si>
  <si>
    <t>Trạng thái không hợp lệ</t>
  </si>
  <si>
    <t>Kiểm tra từ chối giá trị ngoài danh sách.</t>
  </si>
  <si>
    <t>Gửi PUT với trangThai = Completed.</t>
  </si>
  <si>
    <t>{"trangThai":"Completed"}</t>
  </si>
  <si>
    <t>HTTP 400; không cập nhật trạng thái.</t>
  </si>
  <si>
    <t>Xóa lịch khám thành công</t>
  </si>
  <si>
    <t>Xác minh xóa lịch tồn tại.</t>
  </si>
  <si>
    <t>idLichKham=5 tồn tại.</t>
  </si>
  <si>
    <t>Gửi DELETE /api/admin/lichkham/5.</t>
  </si>
  <si>
    <t>HTTP 200; success=true; message xóa thành công.</t>
  </si>
  <si>
    <t>Xóa lịch không tồn tại</t>
  </si>
  <si>
    <t>Gửi DELETE /api/admin/lichkham/9999.</t>
  </si>
  <si>
    <t>HTTP 404; không thay đổi dữ liệu.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</si>
</sst>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8">
    <font>
      <sz val="10.0"/>
      <color rgb="FF000000"/>
      <name val="Arial"/>
      <scheme val="minor"/>
    </font>
    <font>
      <b/>
      <sz val="14.0"/>
      <color theme="1"/>
      <name val="Times New Roman"/>
    </font>
    <font>
      <b/>
      <sz val="14.0"/>
      <color theme="1"/>
      <name val="Calibri"/>
    </font>
    <font>
      <sz val="11.0"/>
      <color rgb="FF000000"/>
      <name val="Calibri"/>
    </font>
    <font>
      <sz val="12.0"/>
      <color rgb="FF000000"/>
      <name val="Times New Roman"/>
    </font>
    <font>
      <sz val="12.0"/>
      <color theme="1"/>
      <name val="Times New Roman"/>
    </font>
    <font>
      <sz val="14.0"/>
      <color theme="1"/>
      <name val="Times New Roman"/>
    </font>
    <font>
      <b/>
      <sz val="18.0"/>
      <color rgb="FFFF0000"/>
      <name val="Times New Roman"/>
    </font>
    <font>
      <b/>
      <sz val="15.0"/>
      <color rgb="FF000000"/>
      <name val="Times New Roman"/>
    </font>
    <font>
      <sz val="14.0"/>
      <color rgb="FF000000"/>
      <name val="Times New Roman"/>
    </font>
    <font>
      <sz val="14.0"/>
      <color rgb="FF000000"/>
      <name val="Calibri"/>
    </font>
    <font>
      <b/>
      <sz val="14.0"/>
      <color rgb="FF000000"/>
      <name val="Times New Roman"/>
    </font>
    <font>
      <b/>
      <sz val="20.0"/>
      <color rgb="FFFF0000"/>
      <name val="Times New Roman"/>
    </font>
    <font>
      <sz val="15.0"/>
      <color rgb="FF000000"/>
      <name val="Times New Roman"/>
    </font>
    <font>
      <sz val="13.0"/>
      <color rgb="FF000000"/>
      <name val="Calibri"/>
    </font>
    <font>
      <b/>
      <sz val="17.0"/>
      <color rgb="FF000000"/>
      <name val="Times New Roman"/>
    </font>
    <font>
      <sz val="13.0"/>
      <color theme="1"/>
      <name val="Arial"/>
      <scheme val="minor"/>
    </font>
    <font>
      <sz val="17.0"/>
      <color rgb="FF000000"/>
      <name val="Times New Roman"/>
    </font>
    <font>
      <sz val="13.0"/>
      <color rgb="FF000000"/>
      <name val="Times New Roman"/>
    </font>
    <font>
      <b/>
      <sz val="16.0"/>
      <color theme="1"/>
      <name val="Times New Roman"/>
    </font>
    <font>
      <sz val="16.0"/>
      <color theme="1"/>
      <name val="Times New Roman"/>
    </font>
    <font>
      <sz val="9.0"/>
      <color theme="1"/>
      <name val="Arial"/>
      <scheme val="minor"/>
    </font>
    <font>
      <sz val="11.0"/>
      <color theme="1"/>
      <name val="Times New Roman"/>
    </font>
    <font>
      <b/>
      <sz val="15.0"/>
      <color theme="1"/>
      <name val="Times New Roman"/>
    </font>
    <font>
      <sz val="15.0"/>
      <color theme="1"/>
      <name val="Times New Roman"/>
    </font>
    <font>
      <sz val="15.0"/>
      <color theme="1"/>
      <name val="Arial"/>
      <scheme val="minor"/>
    </font>
    <font>
      <color theme="1"/>
      <name val="Arial"/>
      <scheme val="minor"/>
    </font>
    <font>
      <b/>
      <sz val="18.0"/>
      <color rgb="FFFF0000"/>
      <name val="&quot;Times New Roman&quot;"/>
    </font>
  </fonts>
  <fills count="6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0" fillId="3" fontId="3" numFmtId="0" xfId="0" applyAlignment="1" applyFill="1" applyFont="1">
      <alignment horizontal="right"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0" fontId="5" numFmtId="0" xfId="0" applyFont="1"/>
    <xf borderId="1" fillId="4" fontId="6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0" fontId="7" numFmtId="0" xfId="0" applyAlignment="1" applyFont="1">
      <alignment readingOrder="0"/>
    </xf>
    <xf borderId="1" fillId="2" fontId="8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9" numFmtId="164" xfId="0" applyAlignment="1" applyBorder="1" applyFont="1" applyNumberForma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wrapText="1"/>
    </xf>
    <xf borderId="0" fillId="0" fontId="5" numFmtId="0" xfId="0" applyAlignment="1" applyFont="1">
      <alignment horizontal="center"/>
    </xf>
    <xf borderId="1" fillId="2" fontId="11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horizontal="left"/>
    </xf>
    <xf borderId="1" fillId="4" fontId="9" numFmtId="0" xfId="0" applyAlignment="1" applyBorder="1" applyFont="1">
      <alignment horizontal="center" readingOrder="0" shrinkToFit="0" wrapText="1"/>
    </xf>
    <xf borderId="0" fillId="0" fontId="9" numFmtId="0" xfId="0" applyAlignment="1" applyFont="1">
      <alignment horizontal="left"/>
    </xf>
    <xf borderId="0" fillId="0" fontId="9" numFmtId="0" xfId="0" applyAlignment="1" applyFont="1">
      <alignment horizontal="left" readingOrder="0"/>
    </xf>
    <xf borderId="0" fillId="0" fontId="12" numFmtId="0" xfId="0" applyAlignment="1" applyFont="1">
      <alignment readingOrder="0"/>
    </xf>
    <xf borderId="1" fillId="2" fontId="8" numFmtId="0" xfId="0" applyAlignment="1" applyBorder="1" applyFont="1">
      <alignment horizontal="center" readingOrder="0" vertical="bottom"/>
    </xf>
    <xf borderId="1" fillId="2" fontId="8" numFmtId="0" xfId="0" applyAlignment="1" applyBorder="1" applyFont="1">
      <alignment horizontal="left" readingOrder="0"/>
    </xf>
    <xf borderId="1" fillId="0" fontId="13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left" readingOrder="0" shrinkToFit="0" vertical="center" wrapText="1"/>
    </xf>
    <xf borderId="1" fillId="0" fontId="13" numFmtId="0" xfId="0" applyAlignment="1" applyBorder="1" applyFont="1">
      <alignment horizontal="left"/>
    </xf>
    <xf borderId="0" fillId="0" fontId="9" numFmtId="0" xfId="0" applyAlignment="1" applyFont="1">
      <alignment horizontal="center"/>
    </xf>
    <xf borderId="0" fillId="0" fontId="12" numFmtId="0" xfId="0" applyAlignment="1" applyFont="1">
      <alignment horizontal="left" readingOrder="0"/>
    </xf>
    <xf borderId="0" fillId="0" fontId="8" numFmtId="0" xfId="0" applyAlignment="1" applyFont="1">
      <alignment horizontal="left"/>
    </xf>
    <xf borderId="0" fillId="0" fontId="13" numFmtId="0" xfId="0" applyAlignment="1" applyFont="1">
      <alignment horizontal="left"/>
    </xf>
    <xf borderId="1" fillId="2" fontId="11" numFmtId="0" xfId="0" applyAlignment="1" applyBorder="1" applyFont="1">
      <alignment horizontal="center" readingOrder="0" vertical="bottom"/>
    </xf>
    <xf borderId="1" fillId="0" fontId="13" numFmtId="0" xfId="0" applyAlignment="1" applyBorder="1" applyFont="1">
      <alignment horizontal="left" shrinkToFit="0" vertical="center" wrapText="1"/>
    </xf>
    <xf borderId="1" fillId="0" fontId="13" numFmtId="0" xfId="0" applyAlignment="1" applyBorder="1" applyFont="1">
      <alignment horizontal="left" vertical="center"/>
    </xf>
    <xf borderId="0" fillId="0" fontId="14" numFmtId="0" xfId="0" applyAlignment="1" applyFont="1">
      <alignment horizontal="center" readingOrder="0" shrinkToFit="0" wrapText="1"/>
    </xf>
    <xf borderId="1" fillId="2" fontId="15" numFmtId="0" xfId="0" applyAlignment="1" applyBorder="1" applyFont="1">
      <alignment horizontal="center" readingOrder="0" shrinkToFit="0" wrapText="1"/>
    </xf>
    <xf borderId="0" fillId="0" fontId="16" numFmtId="0" xfId="0" applyFont="1"/>
    <xf borderId="1" fillId="4" fontId="17" numFmtId="0" xfId="0" applyAlignment="1" applyBorder="1" applyFont="1">
      <alignment horizontal="center" readingOrder="0" shrinkToFit="0" wrapText="1"/>
    </xf>
    <xf borderId="1" fillId="0" fontId="9" numFmtId="0" xfId="0" applyAlignment="1" applyBorder="1" applyFont="1">
      <alignment horizontal="left" readingOrder="0" shrinkToFit="0" vertical="center" wrapText="1"/>
    </xf>
    <xf borderId="1" fillId="0" fontId="18" numFmtId="164" xfId="0" applyAlignment="1" applyBorder="1" applyFont="1" applyNumberFormat="1">
      <alignment horizontal="center" readingOrder="0" shrinkToFit="0" vertical="center" wrapText="1"/>
    </xf>
    <xf borderId="1" fillId="0" fontId="18" numFmtId="0" xfId="0" applyAlignment="1" applyBorder="1" applyFont="1">
      <alignment horizontal="center" readingOrder="0" shrinkToFit="0" vertical="center" wrapText="1"/>
    </xf>
    <xf borderId="1" fillId="2" fontId="19" numFmtId="0" xfId="0" applyAlignment="1" applyBorder="1" applyFont="1">
      <alignment horizontal="center" readingOrder="0" shrinkToFit="0" wrapText="1"/>
    </xf>
    <xf borderId="1" fillId="0" fontId="20" numFmtId="0" xfId="0" applyAlignment="1" applyBorder="1" applyFont="1">
      <alignment horizontal="center" readingOrder="0" shrinkToFit="0" wrapText="1"/>
    </xf>
    <xf borderId="1" fillId="4" fontId="20" numFmtId="0" xfId="0" applyAlignment="1" applyBorder="1" applyFont="1">
      <alignment horizontal="center" readingOrder="0" shrinkToFit="0" wrapText="1"/>
    </xf>
    <xf borderId="0" fillId="5" fontId="21" numFmtId="0" xfId="0" applyAlignment="1" applyFill="1" applyFont="1">
      <alignment horizontal="center" readingOrder="0"/>
    </xf>
    <xf borderId="0" fillId="0" fontId="22" numFmtId="0" xfId="0" applyFont="1"/>
    <xf borderId="1" fillId="2" fontId="23" numFmtId="0" xfId="0" applyAlignment="1" applyBorder="1" applyFont="1">
      <alignment horizontal="center" readingOrder="0"/>
    </xf>
    <xf borderId="1" fillId="0" fontId="24" numFmtId="0" xfId="0" applyAlignment="1" applyBorder="1" applyFont="1">
      <alignment horizontal="center" readingOrder="0" shrinkToFit="0" vertical="center" wrapText="1"/>
    </xf>
    <xf borderId="1" fillId="0" fontId="24" numFmtId="0" xfId="0" applyAlignment="1" applyBorder="1" applyFont="1">
      <alignment horizontal="left" readingOrder="0" shrinkToFit="0" vertical="center" wrapText="1"/>
    </xf>
    <xf borderId="1" fillId="0" fontId="25" numFmtId="0" xfId="0" applyBorder="1" applyFont="1"/>
    <xf borderId="1" fillId="2" fontId="23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/>
    </xf>
    <xf borderId="1" fillId="0" fontId="26" numFmtId="0" xfId="0" applyBorder="1" applyFont="1"/>
    <xf borderId="0" fillId="0" fontId="27" numFmtId="0" xfId="0" applyAlignment="1" applyFont="1">
      <alignment readingOrder="0"/>
    </xf>
    <xf borderId="1" fillId="0" fontId="6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38"/>
    <col customWidth="1" min="3" max="3" width="26.63"/>
    <col customWidth="1" min="4" max="4" width="37.0"/>
    <col customWidth="1" min="5" max="5" width="52.0"/>
    <col customWidth="1" min="6" max="6" width="66.0"/>
  </cols>
  <sheetData>
    <row r="1">
      <c r="A1" s="1" t="s">
        <v>0</v>
      </c>
      <c r="B1" s="2" t="s">
        <v>1</v>
      </c>
      <c r="C1" s="2" t="s">
        <v>2</v>
      </c>
      <c r="D1" s="3"/>
      <c r="E1" s="4"/>
      <c r="F1" s="4"/>
      <c r="G1" s="4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1.0</v>
      </c>
      <c r="B2" s="6" t="s">
        <v>3</v>
      </c>
      <c r="C2" s="6">
        <v>6.0</v>
      </c>
      <c r="D2" s="7"/>
      <c r="E2" s="4"/>
      <c r="F2" s="4"/>
      <c r="G2" s="4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>
        <v>2.0</v>
      </c>
      <c r="B3" s="6" t="s">
        <v>4</v>
      </c>
      <c r="C3" s="6">
        <v>6.0</v>
      </c>
      <c r="D3" s="7"/>
      <c r="E3" s="4"/>
      <c r="F3" s="4"/>
      <c r="G3" s="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>
        <v>3.0</v>
      </c>
      <c r="B4" s="6" t="s">
        <v>5</v>
      </c>
      <c r="C4" s="6">
        <v>5.0</v>
      </c>
      <c r="D4" s="7"/>
      <c r="E4" s="4"/>
      <c r="F4" s="4"/>
      <c r="G4" s="4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"/>
      <c r="B5" s="4"/>
      <c r="C5" s="8"/>
      <c r="D5" s="7"/>
      <c r="E5" s="4"/>
      <c r="F5" s="4"/>
      <c r="G5" s="4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9" t="s">
        <v>6</v>
      </c>
      <c r="C6" s="8"/>
      <c r="D6" s="7"/>
      <c r="E6" s="4"/>
      <c r="F6" s="4"/>
      <c r="G6" s="4"/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0" t="s">
        <v>7</v>
      </c>
      <c r="B7" s="10" t="s">
        <v>8</v>
      </c>
      <c r="C7" s="10" t="s">
        <v>9</v>
      </c>
      <c r="D7" s="10" t="s">
        <v>10</v>
      </c>
      <c r="E7" s="10" t="s">
        <v>11</v>
      </c>
      <c r="F7" s="10" t="s">
        <v>12</v>
      </c>
      <c r="G7" s="10" t="s">
        <v>13</v>
      </c>
      <c r="H7" s="10" t="s">
        <v>14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1" t="s">
        <v>15</v>
      </c>
      <c r="B8" s="11" t="s">
        <v>16</v>
      </c>
      <c r="C8" s="11" t="s">
        <v>17</v>
      </c>
      <c r="D8" s="11" t="s">
        <v>18</v>
      </c>
      <c r="E8" s="11" t="s">
        <v>19</v>
      </c>
      <c r="F8" s="11" t="s">
        <v>20</v>
      </c>
      <c r="G8" s="12"/>
      <c r="H8" s="13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1" t="s">
        <v>21</v>
      </c>
      <c r="B9" s="11" t="s">
        <v>22</v>
      </c>
      <c r="C9" s="11" t="s">
        <v>23</v>
      </c>
      <c r="D9" s="11" t="s">
        <v>24</v>
      </c>
      <c r="E9" s="11" t="s">
        <v>25</v>
      </c>
      <c r="F9" s="11" t="s">
        <v>26</v>
      </c>
      <c r="G9" s="12"/>
      <c r="H9" s="13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1" t="s">
        <v>27</v>
      </c>
      <c r="B10" s="11" t="s">
        <v>28</v>
      </c>
      <c r="C10" s="11" t="s">
        <v>29</v>
      </c>
      <c r="D10" s="11" t="s">
        <v>30</v>
      </c>
      <c r="E10" s="11" t="s">
        <v>31</v>
      </c>
      <c r="F10" s="11" t="s">
        <v>32</v>
      </c>
      <c r="G10" s="12"/>
      <c r="H10" s="13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1" t="s">
        <v>33</v>
      </c>
      <c r="B11" s="11" t="s">
        <v>34</v>
      </c>
      <c r="C11" s="11" t="s">
        <v>35</v>
      </c>
      <c r="D11" s="11" t="s">
        <v>36</v>
      </c>
      <c r="E11" s="11" t="s">
        <v>37</v>
      </c>
      <c r="F11" s="11" t="s">
        <v>38</v>
      </c>
      <c r="G11" s="12"/>
      <c r="H11" s="13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1" t="s">
        <v>39</v>
      </c>
      <c r="B12" s="11" t="s">
        <v>40</v>
      </c>
      <c r="C12" s="11" t="s">
        <v>41</v>
      </c>
      <c r="D12" s="11" t="s">
        <v>42</v>
      </c>
      <c r="E12" s="11" t="s">
        <v>43</v>
      </c>
      <c r="F12" s="11" t="s">
        <v>44</v>
      </c>
      <c r="G12" s="12"/>
      <c r="H12" s="13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1" t="s">
        <v>45</v>
      </c>
      <c r="B13" s="11" t="s">
        <v>46</v>
      </c>
      <c r="C13" s="11" t="s">
        <v>47</v>
      </c>
      <c r="D13" s="11" t="s">
        <v>48</v>
      </c>
      <c r="E13" s="11" t="s">
        <v>49</v>
      </c>
      <c r="F13" s="11" t="s">
        <v>50</v>
      </c>
      <c r="G13" s="12"/>
      <c r="H13" s="13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9" t="s">
        <v>4</v>
      </c>
      <c r="C14" s="14"/>
      <c r="D14" s="14"/>
      <c r="E14" s="14"/>
      <c r="F14" s="14"/>
      <c r="G14" s="14"/>
      <c r="H14" s="14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0" t="s">
        <v>7</v>
      </c>
      <c r="B15" s="10" t="s">
        <v>8</v>
      </c>
      <c r="C15" s="10" t="s">
        <v>9</v>
      </c>
      <c r="D15" s="10" t="s">
        <v>10</v>
      </c>
      <c r="E15" s="10" t="s">
        <v>11</v>
      </c>
      <c r="F15" s="10" t="s">
        <v>12</v>
      </c>
      <c r="G15" s="10" t="s">
        <v>13</v>
      </c>
      <c r="H15" s="10" t="s">
        <v>14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1" t="s">
        <v>15</v>
      </c>
      <c r="B16" s="11" t="s">
        <v>51</v>
      </c>
      <c r="C16" s="11" t="s">
        <v>52</v>
      </c>
      <c r="D16" s="11" t="s">
        <v>53</v>
      </c>
      <c r="E16" s="11" t="s">
        <v>52</v>
      </c>
      <c r="F16" s="11" t="s">
        <v>54</v>
      </c>
      <c r="G16" s="12"/>
      <c r="H16" s="13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1" t="s">
        <v>21</v>
      </c>
      <c r="B17" s="11" t="s">
        <v>55</v>
      </c>
      <c r="C17" s="11" t="s">
        <v>56</v>
      </c>
      <c r="D17" s="11" t="s">
        <v>57</v>
      </c>
      <c r="E17" s="11" t="s">
        <v>58</v>
      </c>
      <c r="F17" s="11" t="s">
        <v>59</v>
      </c>
      <c r="G17" s="12"/>
      <c r="H17" s="13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1" t="s">
        <v>27</v>
      </c>
      <c r="B18" s="11" t="s">
        <v>60</v>
      </c>
      <c r="C18" s="11" t="s">
        <v>61</v>
      </c>
      <c r="D18" s="11" t="s">
        <v>62</v>
      </c>
      <c r="E18" s="11" t="s">
        <v>63</v>
      </c>
      <c r="F18" s="11" t="s">
        <v>64</v>
      </c>
      <c r="G18" s="12"/>
      <c r="H18" s="13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1" t="s">
        <v>33</v>
      </c>
      <c r="B19" s="11" t="s">
        <v>65</v>
      </c>
      <c r="C19" s="11" t="s">
        <v>66</v>
      </c>
      <c r="D19" s="11" t="s">
        <v>67</v>
      </c>
      <c r="E19" s="11" t="s">
        <v>68</v>
      </c>
      <c r="F19" s="11" t="s">
        <v>69</v>
      </c>
      <c r="G19" s="12"/>
      <c r="H19" s="13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1" t="s">
        <v>39</v>
      </c>
      <c r="B20" s="11" t="s">
        <v>70</v>
      </c>
      <c r="C20" s="11" t="s">
        <v>71</v>
      </c>
      <c r="D20" s="11" t="s">
        <v>72</v>
      </c>
      <c r="E20" s="11" t="s">
        <v>73</v>
      </c>
      <c r="F20" s="11" t="s">
        <v>74</v>
      </c>
      <c r="G20" s="12"/>
      <c r="H20" s="13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1" t="s">
        <v>45</v>
      </c>
      <c r="B21" s="11" t="s">
        <v>75</v>
      </c>
      <c r="C21" s="11" t="s">
        <v>76</v>
      </c>
      <c r="D21" s="11" t="s">
        <v>77</v>
      </c>
      <c r="E21" s="11" t="s">
        <v>76</v>
      </c>
      <c r="F21" s="11" t="s">
        <v>78</v>
      </c>
      <c r="G21" s="12"/>
      <c r="H21" s="13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9" t="s">
        <v>5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0" t="s">
        <v>7</v>
      </c>
      <c r="B23" s="10" t="s">
        <v>8</v>
      </c>
      <c r="C23" s="10" t="s">
        <v>9</v>
      </c>
      <c r="D23" s="10" t="s">
        <v>10</v>
      </c>
      <c r="E23" s="10" t="s">
        <v>11</v>
      </c>
      <c r="F23" s="10" t="s">
        <v>12</v>
      </c>
      <c r="G23" s="10" t="s">
        <v>13</v>
      </c>
      <c r="H23" s="10" t="s">
        <v>14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1" t="s">
        <v>15</v>
      </c>
      <c r="B24" s="11" t="s">
        <v>79</v>
      </c>
      <c r="C24" s="11" t="s">
        <v>80</v>
      </c>
      <c r="D24" s="11" t="s">
        <v>81</v>
      </c>
      <c r="E24" s="11" t="s">
        <v>82</v>
      </c>
      <c r="F24" s="11" t="s">
        <v>83</v>
      </c>
      <c r="G24" s="12"/>
      <c r="H24" s="13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1" t="s">
        <v>21</v>
      </c>
      <c r="B25" s="11" t="s">
        <v>84</v>
      </c>
      <c r="C25" s="11" t="s">
        <v>80</v>
      </c>
      <c r="D25" s="11" t="s">
        <v>85</v>
      </c>
      <c r="E25" s="11" t="s">
        <v>86</v>
      </c>
      <c r="F25" s="11" t="s">
        <v>87</v>
      </c>
      <c r="G25" s="12"/>
      <c r="H25" s="13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63.0" customHeight="1">
      <c r="A26" s="11" t="s">
        <v>27</v>
      </c>
      <c r="B26" s="11" t="s">
        <v>88</v>
      </c>
      <c r="C26" s="11" t="s">
        <v>89</v>
      </c>
      <c r="D26" s="11" t="s">
        <v>90</v>
      </c>
      <c r="E26" s="11" t="s">
        <v>91</v>
      </c>
      <c r="F26" s="11" t="s">
        <v>92</v>
      </c>
      <c r="G26" s="12"/>
      <c r="H26" s="13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1" t="s">
        <v>33</v>
      </c>
      <c r="B27" s="11" t="s">
        <v>93</v>
      </c>
      <c r="C27" s="11" t="s">
        <v>94</v>
      </c>
      <c r="D27" s="11" t="s">
        <v>95</v>
      </c>
      <c r="E27" s="11" t="s">
        <v>96</v>
      </c>
      <c r="F27" s="11" t="s">
        <v>97</v>
      </c>
      <c r="G27" s="12"/>
      <c r="H27" s="13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59.25" customHeight="1">
      <c r="A28" s="11" t="s">
        <v>39</v>
      </c>
      <c r="B28" s="11" t="s">
        <v>98</v>
      </c>
      <c r="C28" s="11" t="s">
        <v>17</v>
      </c>
      <c r="D28" s="11" t="s">
        <v>99</v>
      </c>
      <c r="E28" s="11" t="s">
        <v>100</v>
      </c>
      <c r="F28" s="11" t="s">
        <v>101</v>
      </c>
      <c r="G28" s="12"/>
      <c r="H28" s="13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</sheetData>
  <mergeCells count="3">
    <mergeCell ref="A6:B6"/>
    <mergeCell ref="A14:B14"/>
    <mergeCell ref="A22:D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36.75"/>
    <col customWidth="1" min="3" max="3" width="42.0"/>
    <col customWidth="1" min="4" max="4" width="37.0"/>
    <col customWidth="1" min="5" max="5" width="34.75"/>
    <col customWidth="1" min="6" max="6" width="38.0"/>
    <col customWidth="1" min="7" max="7" width="43.13"/>
    <col customWidth="1" min="8" max="8" width="20.0"/>
    <col customWidth="1" min="9" max="9" width="15.25"/>
  </cols>
  <sheetData>
    <row r="1">
      <c r="A1" s="15" t="s">
        <v>0</v>
      </c>
      <c r="B1" s="15" t="s">
        <v>102</v>
      </c>
      <c r="C1" s="15" t="s">
        <v>103</v>
      </c>
      <c r="D1" s="15" t="s">
        <v>104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>
      <c r="A2" s="17">
        <v>1.0</v>
      </c>
      <c r="B2" s="17" t="s">
        <v>105</v>
      </c>
      <c r="C2" s="17" t="s">
        <v>106</v>
      </c>
      <c r="D2" s="17">
        <v>12.0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>
      <c r="A3" s="17">
        <v>2.0</v>
      </c>
      <c r="B3" s="17" t="s">
        <v>107</v>
      </c>
      <c r="C3" s="17" t="s">
        <v>108</v>
      </c>
      <c r="D3" s="17">
        <v>10.0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>
      <c r="A4" s="17">
        <v>3.0</v>
      </c>
      <c r="B4" s="17" t="s">
        <v>109</v>
      </c>
      <c r="C4" s="17" t="s">
        <v>110</v>
      </c>
      <c r="D4" s="17">
        <v>12.0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>
      <c r="A5" s="19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>
      <c r="A6" s="20" t="s">
        <v>111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>
      <c r="A7" s="21" t="s">
        <v>112</v>
      </c>
      <c r="B7" s="21" t="s">
        <v>113</v>
      </c>
      <c r="C7" s="21" t="s">
        <v>114</v>
      </c>
      <c r="D7" s="21" t="s">
        <v>115</v>
      </c>
      <c r="E7" s="21" t="s">
        <v>116</v>
      </c>
      <c r="F7" s="21" t="s">
        <v>117</v>
      </c>
      <c r="G7" s="21" t="s">
        <v>12</v>
      </c>
      <c r="H7" s="22" t="s">
        <v>13</v>
      </c>
      <c r="I7" s="22" t="s">
        <v>14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>
      <c r="A8" s="23" t="str">
        <f t="shared" ref="A8:A19" si="1">"TC"&amp;TEXT(ROW()-7,"0000")
</f>
        <v>TC0001</v>
      </c>
      <c r="B8" s="23" t="s">
        <v>118</v>
      </c>
      <c r="C8" s="24" t="s">
        <v>119</v>
      </c>
      <c r="D8" s="23" t="s">
        <v>120</v>
      </c>
      <c r="E8" s="24" t="s">
        <v>121</v>
      </c>
      <c r="F8" s="24" t="s">
        <v>122</v>
      </c>
      <c r="G8" s="24" t="s">
        <v>123</v>
      </c>
      <c r="H8" s="25"/>
      <c r="I8" s="25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>
      <c r="A9" s="23" t="str">
        <f t="shared" si="1"/>
        <v>TC0002</v>
      </c>
      <c r="B9" s="23" t="s">
        <v>124</v>
      </c>
      <c r="C9" s="24" t="s">
        <v>125</v>
      </c>
      <c r="D9" s="23" t="s">
        <v>126</v>
      </c>
      <c r="E9" s="24" t="s">
        <v>127</v>
      </c>
      <c r="F9" s="24" t="s">
        <v>128</v>
      </c>
      <c r="G9" s="24" t="s">
        <v>129</v>
      </c>
      <c r="H9" s="25"/>
      <c r="I9" s="25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</row>
    <row r="10">
      <c r="A10" s="23" t="str">
        <f t="shared" si="1"/>
        <v>TC0003</v>
      </c>
      <c r="B10" s="23" t="s">
        <v>130</v>
      </c>
      <c r="C10" s="24" t="s">
        <v>131</v>
      </c>
      <c r="D10" s="23" t="s">
        <v>132</v>
      </c>
      <c r="E10" s="24" t="s">
        <v>133</v>
      </c>
      <c r="F10" s="24" t="s">
        <v>134</v>
      </c>
      <c r="G10" s="24" t="s">
        <v>135</v>
      </c>
      <c r="H10" s="25"/>
      <c r="I10" s="25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>
      <c r="A11" s="23" t="str">
        <f t="shared" si="1"/>
        <v>TC0004</v>
      </c>
      <c r="B11" s="23" t="s">
        <v>136</v>
      </c>
      <c r="C11" s="24" t="s">
        <v>137</v>
      </c>
      <c r="D11" s="23" t="s">
        <v>138</v>
      </c>
      <c r="E11" s="24" t="s">
        <v>139</v>
      </c>
      <c r="F11" s="24" t="s">
        <v>140</v>
      </c>
      <c r="G11" s="24" t="s">
        <v>141</v>
      </c>
      <c r="H11" s="25"/>
      <c r="I11" s="25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>
      <c r="A12" s="23" t="str">
        <f t="shared" si="1"/>
        <v>TC0005</v>
      </c>
      <c r="B12" s="23" t="s">
        <v>142</v>
      </c>
      <c r="C12" s="24" t="s">
        <v>143</v>
      </c>
      <c r="D12" s="23" t="s">
        <v>144</v>
      </c>
      <c r="E12" s="24" t="s">
        <v>145</v>
      </c>
      <c r="F12" s="24" t="s">
        <v>146</v>
      </c>
      <c r="G12" s="24" t="s">
        <v>147</v>
      </c>
      <c r="H12" s="25"/>
      <c r="I12" s="25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>
      <c r="A13" s="23" t="str">
        <f t="shared" si="1"/>
        <v>TC0006</v>
      </c>
      <c r="B13" s="23" t="s">
        <v>148</v>
      </c>
      <c r="C13" s="24" t="s">
        <v>149</v>
      </c>
      <c r="D13" s="23" t="s">
        <v>132</v>
      </c>
      <c r="E13" s="24" t="s">
        <v>150</v>
      </c>
      <c r="F13" s="24" t="s">
        <v>151</v>
      </c>
      <c r="G13" s="24" t="s">
        <v>152</v>
      </c>
      <c r="H13" s="25"/>
      <c r="I13" s="25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>
      <c r="A14" s="23" t="str">
        <f t="shared" si="1"/>
        <v>TC0007</v>
      </c>
      <c r="B14" s="23" t="s">
        <v>153</v>
      </c>
      <c r="C14" s="24" t="s">
        <v>154</v>
      </c>
      <c r="D14" s="23" t="s">
        <v>155</v>
      </c>
      <c r="E14" s="24" t="s">
        <v>156</v>
      </c>
      <c r="F14" s="24" t="s">
        <v>157</v>
      </c>
      <c r="G14" s="24" t="s">
        <v>158</v>
      </c>
      <c r="H14" s="25"/>
      <c r="I14" s="25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>
      <c r="A15" s="23" t="str">
        <f t="shared" si="1"/>
        <v>TC0008</v>
      </c>
      <c r="B15" s="23" t="s">
        <v>159</v>
      </c>
      <c r="C15" s="24" t="s">
        <v>160</v>
      </c>
      <c r="D15" s="23" t="s">
        <v>161</v>
      </c>
      <c r="E15" s="24" t="s">
        <v>162</v>
      </c>
      <c r="F15" s="24" t="s">
        <v>128</v>
      </c>
      <c r="G15" s="24" t="s">
        <v>163</v>
      </c>
      <c r="H15" s="25"/>
      <c r="I15" s="25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>
      <c r="A16" s="23" t="str">
        <f t="shared" si="1"/>
        <v>TC0009</v>
      </c>
      <c r="B16" s="23" t="s">
        <v>164</v>
      </c>
      <c r="C16" s="24" t="s">
        <v>165</v>
      </c>
      <c r="D16" s="23" t="s">
        <v>166</v>
      </c>
      <c r="E16" s="24" t="s">
        <v>167</v>
      </c>
      <c r="F16" s="24" t="s">
        <v>168</v>
      </c>
      <c r="G16" s="24" t="s">
        <v>169</v>
      </c>
      <c r="H16" s="25"/>
      <c r="I16" s="25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</row>
    <row r="17">
      <c r="A17" s="23" t="str">
        <f t="shared" si="1"/>
        <v>TC0010</v>
      </c>
      <c r="B17" s="23" t="s">
        <v>170</v>
      </c>
      <c r="C17" s="24" t="s">
        <v>171</v>
      </c>
      <c r="D17" s="23" t="s">
        <v>132</v>
      </c>
      <c r="E17" s="24" t="s">
        <v>172</v>
      </c>
      <c r="F17" s="24" t="s">
        <v>173</v>
      </c>
      <c r="G17" s="24" t="s">
        <v>174</v>
      </c>
      <c r="H17" s="25"/>
      <c r="I17" s="25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</row>
    <row r="18">
      <c r="A18" s="23" t="str">
        <f t="shared" si="1"/>
        <v>TC0011</v>
      </c>
      <c r="B18" s="23" t="s">
        <v>175</v>
      </c>
      <c r="C18" s="24" t="s">
        <v>176</v>
      </c>
      <c r="D18" s="23" t="s">
        <v>132</v>
      </c>
      <c r="E18" s="24" t="s">
        <v>177</v>
      </c>
      <c r="F18" s="24" t="s">
        <v>178</v>
      </c>
      <c r="G18" s="24" t="s">
        <v>179</v>
      </c>
      <c r="H18" s="25"/>
      <c r="I18" s="25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>
      <c r="A19" s="23" t="str">
        <f t="shared" si="1"/>
        <v>TC0012</v>
      </c>
      <c r="B19" s="23" t="s">
        <v>180</v>
      </c>
      <c r="C19" s="24" t="s">
        <v>181</v>
      </c>
      <c r="D19" s="23" t="s">
        <v>182</v>
      </c>
      <c r="E19" s="24" t="s">
        <v>183</v>
      </c>
      <c r="F19" s="24" t="s">
        <v>184</v>
      </c>
      <c r="G19" s="24" t="s">
        <v>185</v>
      </c>
      <c r="H19" s="25"/>
      <c r="I19" s="25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</row>
    <row r="20">
      <c r="A20" s="26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</row>
    <row r="21">
      <c r="A21" s="27" t="s">
        <v>186</v>
      </c>
      <c r="C21" s="28"/>
      <c r="D21" s="28"/>
      <c r="E21" s="28"/>
      <c r="F21" s="28"/>
      <c r="G21" s="28"/>
      <c r="H21" s="28"/>
      <c r="I21" s="28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>
      <c r="A22" s="26"/>
      <c r="B22" s="18"/>
      <c r="C22" s="29"/>
      <c r="D22" s="29"/>
      <c r="E22" s="29"/>
      <c r="F22" s="29"/>
      <c r="G22" s="29"/>
      <c r="H22" s="29"/>
      <c r="I22" s="29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  <row r="23">
      <c r="A23" s="30" t="s">
        <v>112</v>
      </c>
      <c r="B23" s="30" t="s">
        <v>113</v>
      </c>
      <c r="C23" s="21" t="s">
        <v>114</v>
      </c>
      <c r="D23" s="21" t="s">
        <v>115</v>
      </c>
      <c r="E23" s="21" t="s">
        <v>116</v>
      </c>
      <c r="F23" s="21" t="s">
        <v>117</v>
      </c>
      <c r="G23" s="21" t="s">
        <v>12</v>
      </c>
      <c r="H23" s="22" t="s">
        <v>13</v>
      </c>
      <c r="I23" s="22" t="s">
        <v>14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>
      <c r="A24" s="23" t="str">
        <f t="shared" ref="A24:A33" si="2">"TC"&amp;TEXT(ROW()-23,"0000")</f>
        <v>TC0001</v>
      </c>
      <c r="B24" s="23" t="s">
        <v>187</v>
      </c>
      <c r="C24" s="24" t="s">
        <v>188</v>
      </c>
      <c r="D24" s="23" t="s">
        <v>189</v>
      </c>
      <c r="E24" s="24" t="s">
        <v>190</v>
      </c>
      <c r="F24" s="24" t="s">
        <v>191</v>
      </c>
      <c r="G24" s="24" t="s">
        <v>192</v>
      </c>
      <c r="H24" s="31"/>
      <c r="I24" s="31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</row>
    <row r="25">
      <c r="A25" s="23" t="str">
        <f t="shared" si="2"/>
        <v>TC0002</v>
      </c>
      <c r="B25" s="23" t="s">
        <v>193</v>
      </c>
      <c r="C25" s="24" t="s">
        <v>194</v>
      </c>
      <c r="D25" s="23" t="s">
        <v>195</v>
      </c>
      <c r="E25" s="24" t="s">
        <v>190</v>
      </c>
      <c r="F25" s="24" t="s">
        <v>191</v>
      </c>
      <c r="G25" s="24" t="s">
        <v>196</v>
      </c>
      <c r="H25" s="31"/>
      <c r="I25" s="31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</row>
    <row r="26">
      <c r="A26" s="23" t="str">
        <f t="shared" si="2"/>
        <v>TC0003</v>
      </c>
      <c r="B26" s="23" t="s">
        <v>197</v>
      </c>
      <c r="C26" s="24" t="s">
        <v>198</v>
      </c>
      <c r="D26" s="23" t="s">
        <v>199</v>
      </c>
      <c r="E26" s="24" t="s">
        <v>200</v>
      </c>
      <c r="F26" s="24" t="s">
        <v>201</v>
      </c>
      <c r="G26" s="24" t="s">
        <v>202</v>
      </c>
      <c r="H26" s="31"/>
      <c r="I26" s="31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>
      <c r="A27" s="23" t="str">
        <f t="shared" si="2"/>
        <v>TC0004</v>
      </c>
      <c r="B27" s="23" t="s">
        <v>203</v>
      </c>
      <c r="C27" s="24" t="s">
        <v>204</v>
      </c>
      <c r="D27" s="23" t="s">
        <v>132</v>
      </c>
      <c r="E27" s="24" t="s">
        <v>205</v>
      </c>
      <c r="F27" s="24" t="s">
        <v>206</v>
      </c>
      <c r="G27" s="24" t="s">
        <v>207</v>
      </c>
      <c r="H27" s="31"/>
      <c r="I27" s="31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>
      <c r="A28" s="23" t="str">
        <f t="shared" si="2"/>
        <v>TC0005</v>
      </c>
      <c r="B28" s="23" t="s">
        <v>208</v>
      </c>
      <c r="C28" s="24" t="s">
        <v>209</v>
      </c>
      <c r="D28" s="23" t="s">
        <v>132</v>
      </c>
      <c r="E28" s="24" t="s">
        <v>210</v>
      </c>
      <c r="F28" s="24" t="s">
        <v>211</v>
      </c>
      <c r="G28" s="24" t="s">
        <v>212</v>
      </c>
      <c r="H28" s="31"/>
      <c r="I28" s="31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>
      <c r="A29" s="23" t="str">
        <f t="shared" si="2"/>
        <v>TC0006</v>
      </c>
      <c r="B29" s="23" t="s">
        <v>213</v>
      </c>
      <c r="C29" s="24" t="s">
        <v>214</v>
      </c>
      <c r="D29" s="23" t="s">
        <v>215</v>
      </c>
      <c r="E29" s="24" t="s">
        <v>216</v>
      </c>
      <c r="F29" s="24" t="s">
        <v>217</v>
      </c>
      <c r="G29" s="24" t="s">
        <v>218</v>
      </c>
      <c r="H29" s="31"/>
      <c r="I29" s="31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</row>
    <row r="30">
      <c r="A30" s="23" t="str">
        <f t="shared" si="2"/>
        <v>TC0007</v>
      </c>
      <c r="B30" s="23" t="s">
        <v>219</v>
      </c>
      <c r="C30" s="24" t="s">
        <v>220</v>
      </c>
      <c r="D30" s="23" t="s">
        <v>221</v>
      </c>
      <c r="E30" s="24" t="s">
        <v>222</v>
      </c>
      <c r="F30" s="24" t="s">
        <v>201</v>
      </c>
      <c r="G30" s="24" t="s">
        <v>223</v>
      </c>
      <c r="H30" s="31"/>
      <c r="I30" s="31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>
      <c r="A31" s="23" t="str">
        <f t="shared" si="2"/>
        <v>TC0008</v>
      </c>
      <c r="B31" s="23" t="s">
        <v>224</v>
      </c>
      <c r="C31" s="24" t="s">
        <v>225</v>
      </c>
      <c r="D31" s="23" t="s">
        <v>226</v>
      </c>
      <c r="E31" s="24" t="s">
        <v>227</v>
      </c>
      <c r="F31" s="24" t="s">
        <v>228</v>
      </c>
      <c r="G31" s="24" t="s">
        <v>229</v>
      </c>
      <c r="H31" s="31"/>
      <c r="I31" s="31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</row>
    <row r="32">
      <c r="A32" s="23" t="str">
        <f t="shared" si="2"/>
        <v>TC0009</v>
      </c>
      <c r="B32" s="23" t="s">
        <v>230</v>
      </c>
      <c r="C32" s="24" t="s">
        <v>231</v>
      </c>
      <c r="D32" s="23" t="s">
        <v>232</v>
      </c>
      <c r="E32" s="24" t="s">
        <v>233</v>
      </c>
      <c r="F32" s="24" t="s">
        <v>228</v>
      </c>
      <c r="G32" s="24" t="s">
        <v>234</v>
      </c>
      <c r="H32" s="31"/>
      <c r="I32" s="31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</row>
    <row r="33">
      <c r="A33" s="23" t="str">
        <f t="shared" si="2"/>
        <v>TC0010</v>
      </c>
      <c r="B33" s="23" t="s">
        <v>235</v>
      </c>
      <c r="C33" s="24" t="s">
        <v>236</v>
      </c>
      <c r="D33" s="23" t="s">
        <v>237</v>
      </c>
      <c r="E33" s="24" t="s">
        <v>238</v>
      </c>
      <c r="F33" s="24" t="s">
        <v>239</v>
      </c>
      <c r="G33" s="24" t="s">
        <v>240</v>
      </c>
      <c r="H33" s="31"/>
      <c r="I33" s="31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</row>
    <row r="34">
      <c r="A34" s="26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</row>
    <row r="35">
      <c r="A35" s="27" t="s">
        <v>241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</row>
    <row r="36">
      <c r="A36" s="26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>
      <c r="A37" s="21" t="s">
        <v>112</v>
      </c>
      <c r="B37" s="21" t="s">
        <v>113</v>
      </c>
      <c r="C37" s="21" t="s">
        <v>114</v>
      </c>
      <c r="D37" s="21" t="s">
        <v>115</v>
      </c>
      <c r="E37" s="21" t="s">
        <v>116</v>
      </c>
      <c r="F37" s="21" t="s">
        <v>117</v>
      </c>
      <c r="G37" s="21" t="s">
        <v>12</v>
      </c>
      <c r="H37" s="22" t="s">
        <v>13</v>
      </c>
      <c r="I37" s="22" t="s">
        <v>14</v>
      </c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</row>
    <row r="38">
      <c r="A38" s="23" t="str">
        <f t="shared" ref="A38:A49" si="3">"TC"&amp;TEXT(ROW()-37,"0000")</f>
        <v>TC0001</v>
      </c>
      <c r="B38" s="23" t="s">
        <v>242</v>
      </c>
      <c r="C38" s="24" t="s">
        <v>243</v>
      </c>
      <c r="D38" s="23" t="s">
        <v>244</v>
      </c>
      <c r="E38" s="24" t="s">
        <v>245</v>
      </c>
      <c r="F38" s="24" t="s">
        <v>246</v>
      </c>
      <c r="G38" s="24" t="s">
        <v>247</v>
      </c>
      <c r="H38" s="32"/>
      <c r="I38" s="32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</row>
    <row r="39">
      <c r="A39" s="23" t="str">
        <f t="shared" si="3"/>
        <v>TC0002</v>
      </c>
      <c r="B39" s="23" t="s">
        <v>248</v>
      </c>
      <c r="C39" s="24" t="s">
        <v>249</v>
      </c>
      <c r="D39" s="23" t="s">
        <v>250</v>
      </c>
      <c r="E39" s="24" t="s">
        <v>251</v>
      </c>
      <c r="F39" s="24" t="s">
        <v>252</v>
      </c>
      <c r="G39" s="24" t="s">
        <v>196</v>
      </c>
      <c r="H39" s="32"/>
      <c r="I39" s="32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</row>
    <row r="40">
      <c r="A40" s="23" t="str">
        <f t="shared" si="3"/>
        <v>TC0003</v>
      </c>
      <c r="B40" s="23" t="s">
        <v>253</v>
      </c>
      <c r="C40" s="24" t="s">
        <v>254</v>
      </c>
      <c r="D40" s="23" t="s">
        <v>255</v>
      </c>
      <c r="E40" s="24" t="s">
        <v>256</v>
      </c>
      <c r="F40" s="24" t="s">
        <v>191</v>
      </c>
      <c r="G40" s="24" t="s">
        <v>257</v>
      </c>
      <c r="H40" s="32"/>
      <c r="I40" s="32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</row>
    <row r="41">
      <c r="A41" s="23" t="str">
        <f t="shared" si="3"/>
        <v>TC0004</v>
      </c>
      <c r="B41" s="23" t="s">
        <v>258</v>
      </c>
      <c r="C41" s="24" t="s">
        <v>259</v>
      </c>
      <c r="D41" s="23" t="s">
        <v>260</v>
      </c>
      <c r="E41" s="24" t="s">
        <v>261</v>
      </c>
      <c r="F41" s="24" t="s">
        <v>262</v>
      </c>
      <c r="G41" s="24" t="s">
        <v>263</v>
      </c>
      <c r="H41" s="32"/>
      <c r="I41" s="32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</row>
    <row r="42">
      <c r="A42" s="23" t="str">
        <f t="shared" si="3"/>
        <v>TC0005</v>
      </c>
      <c r="B42" s="23" t="s">
        <v>264</v>
      </c>
      <c r="C42" s="24" t="s">
        <v>265</v>
      </c>
      <c r="D42" s="23" t="s">
        <v>266</v>
      </c>
      <c r="E42" s="24" t="s">
        <v>267</v>
      </c>
      <c r="F42" s="24" t="s">
        <v>268</v>
      </c>
      <c r="G42" s="24" t="s">
        <v>196</v>
      </c>
      <c r="H42" s="32"/>
      <c r="I42" s="32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>
      <c r="A43" s="23" t="str">
        <f t="shared" si="3"/>
        <v>TC0006</v>
      </c>
      <c r="B43" s="23" t="s">
        <v>269</v>
      </c>
      <c r="C43" s="24" t="s">
        <v>270</v>
      </c>
      <c r="D43" s="23" t="s">
        <v>132</v>
      </c>
      <c r="E43" s="24" t="s">
        <v>271</v>
      </c>
      <c r="F43" s="24" t="s">
        <v>272</v>
      </c>
      <c r="G43" s="24" t="s">
        <v>273</v>
      </c>
      <c r="H43" s="32"/>
      <c r="I43" s="32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>
      <c r="A44" s="23" t="str">
        <f t="shared" si="3"/>
        <v>TC0007</v>
      </c>
      <c r="B44" s="23" t="s">
        <v>274</v>
      </c>
      <c r="C44" s="24" t="s">
        <v>275</v>
      </c>
      <c r="D44" s="23" t="s">
        <v>276</v>
      </c>
      <c r="E44" s="24" t="s">
        <v>277</v>
      </c>
      <c r="F44" s="24" t="s">
        <v>278</v>
      </c>
      <c r="G44" s="24" t="s">
        <v>279</v>
      </c>
      <c r="H44" s="32"/>
      <c r="I44" s="32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>
      <c r="A45" s="23" t="str">
        <f t="shared" si="3"/>
        <v>TC0008</v>
      </c>
      <c r="B45" s="23" t="s">
        <v>280</v>
      </c>
      <c r="C45" s="24" t="s">
        <v>281</v>
      </c>
      <c r="D45" s="23" t="s">
        <v>132</v>
      </c>
      <c r="E45" s="24" t="s">
        <v>282</v>
      </c>
      <c r="F45" s="24" t="s">
        <v>283</v>
      </c>
      <c r="G45" s="24" t="s">
        <v>284</v>
      </c>
      <c r="H45" s="32"/>
      <c r="I45" s="32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>
      <c r="A46" s="23" t="str">
        <f t="shared" si="3"/>
        <v>TC0009</v>
      </c>
      <c r="B46" s="23" t="s">
        <v>285</v>
      </c>
      <c r="C46" s="24" t="s">
        <v>286</v>
      </c>
      <c r="D46" s="23" t="s">
        <v>287</v>
      </c>
      <c r="E46" s="24" t="s">
        <v>288</v>
      </c>
      <c r="F46" s="24" t="s">
        <v>289</v>
      </c>
      <c r="G46" s="24" t="s">
        <v>290</v>
      </c>
      <c r="H46" s="32"/>
      <c r="I46" s="32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>
      <c r="A47" s="23" t="str">
        <f t="shared" si="3"/>
        <v>TC0010</v>
      </c>
      <c r="B47" s="23" t="s">
        <v>291</v>
      </c>
      <c r="C47" s="24" t="s">
        <v>292</v>
      </c>
      <c r="D47" s="23" t="s">
        <v>293</v>
      </c>
      <c r="E47" s="24" t="s">
        <v>294</v>
      </c>
      <c r="F47" s="24" t="s">
        <v>295</v>
      </c>
      <c r="G47" s="24" t="s">
        <v>296</v>
      </c>
      <c r="H47" s="32"/>
      <c r="I47" s="32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>
      <c r="A48" s="23" t="str">
        <f t="shared" si="3"/>
        <v>TC0011</v>
      </c>
      <c r="B48" s="23" t="s">
        <v>297</v>
      </c>
      <c r="C48" s="24" t="s">
        <v>298</v>
      </c>
      <c r="D48" s="23" t="s">
        <v>299</v>
      </c>
      <c r="E48" s="24" t="s">
        <v>300</v>
      </c>
      <c r="F48" s="24" t="s">
        <v>301</v>
      </c>
      <c r="G48" s="24" t="s">
        <v>302</v>
      </c>
      <c r="H48" s="32"/>
      <c r="I48" s="32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>
      <c r="A49" s="23" t="str">
        <f t="shared" si="3"/>
        <v>TC0012</v>
      </c>
      <c r="B49" s="23" t="s">
        <v>303</v>
      </c>
      <c r="C49" s="24" t="s">
        <v>304</v>
      </c>
      <c r="D49" s="23" t="s">
        <v>305</v>
      </c>
      <c r="E49" s="24" t="s">
        <v>306</v>
      </c>
      <c r="F49" s="24" t="s">
        <v>307</v>
      </c>
      <c r="G49" s="24" t="s">
        <v>308</v>
      </c>
      <c r="H49" s="32"/>
      <c r="I49" s="32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</row>
  </sheetData>
  <mergeCells count="2">
    <mergeCell ref="A21:B21"/>
    <mergeCell ref="A35:B3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33.25"/>
    <col customWidth="1" min="3" max="3" width="41.25"/>
    <col customWidth="1" min="4" max="4" width="37.5"/>
    <col customWidth="1" min="5" max="5" width="33.88"/>
    <col customWidth="1" min="6" max="6" width="35.5"/>
    <col customWidth="1" min="7" max="7" width="19.25"/>
    <col customWidth="1" min="8" max="8" width="20.75"/>
  </cols>
  <sheetData>
    <row r="1">
      <c r="A1" s="33"/>
      <c r="B1" s="33"/>
      <c r="C1" s="34" t="s">
        <v>1</v>
      </c>
      <c r="D1" s="34" t="s">
        <v>2</v>
      </c>
      <c r="E1" s="33"/>
      <c r="F1" s="33"/>
      <c r="G1" s="33"/>
      <c r="H1" s="33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>
      <c r="A2" s="33"/>
      <c r="B2" s="33"/>
      <c r="C2" s="36" t="s">
        <v>309</v>
      </c>
      <c r="D2" s="36">
        <v>5.0</v>
      </c>
      <c r="E2" s="33"/>
      <c r="F2" s="33"/>
      <c r="G2" s="33"/>
      <c r="H2" s="33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>
      <c r="A3" s="33"/>
      <c r="B3" s="33"/>
      <c r="C3" s="36" t="s">
        <v>310</v>
      </c>
      <c r="D3" s="36">
        <v>4.0</v>
      </c>
      <c r="E3" s="33"/>
      <c r="F3" s="33"/>
      <c r="G3" s="33"/>
      <c r="H3" s="33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>
      <c r="A4" s="33"/>
      <c r="B4" s="33"/>
      <c r="C4" s="36" t="s">
        <v>311</v>
      </c>
      <c r="D4" s="36">
        <v>4.0</v>
      </c>
      <c r="E4" s="33"/>
      <c r="F4" s="33"/>
      <c r="G4" s="33"/>
      <c r="H4" s="33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>
      <c r="A5" s="33"/>
      <c r="B5" s="33"/>
      <c r="C5" s="33"/>
      <c r="D5" s="33"/>
      <c r="E5" s="33"/>
      <c r="F5" s="33"/>
      <c r="G5" s="33"/>
      <c r="H5" s="33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>
      <c r="A6" s="20" t="s">
        <v>309</v>
      </c>
      <c r="C6" s="33"/>
      <c r="D6" s="33"/>
      <c r="E6" s="33"/>
      <c r="F6" s="33"/>
      <c r="G6" s="33"/>
      <c r="H6" s="33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>
      <c r="A7" s="15" t="s">
        <v>7</v>
      </c>
      <c r="B7" s="15" t="s">
        <v>8</v>
      </c>
      <c r="C7" s="15" t="s">
        <v>9</v>
      </c>
      <c r="D7" s="15" t="s">
        <v>10</v>
      </c>
      <c r="E7" s="15" t="s">
        <v>11</v>
      </c>
      <c r="F7" s="15" t="s">
        <v>312</v>
      </c>
      <c r="G7" s="15" t="s">
        <v>13</v>
      </c>
      <c r="H7" s="15" t="s">
        <v>14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>
      <c r="A8" s="11" t="s">
        <v>15</v>
      </c>
      <c r="B8" s="11" t="s">
        <v>313</v>
      </c>
      <c r="C8" s="11" t="s">
        <v>314</v>
      </c>
      <c r="D8" s="37" t="s">
        <v>315</v>
      </c>
      <c r="E8" s="11" t="s">
        <v>316</v>
      </c>
      <c r="F8" s="37" t="s">
        <v>317</v>
      </c>
      <c r="G8" s="12"/>
      <c r="H8" s="11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>
      <c r="A9" s="11" t="s">
        <v>21</v>
      </c>
      <c r="B9" s="11" t="s">
        <v>318</v>
      </c>
      <c r="C9" s="11" t="s">
        <v>319</v>
      </c>
      <c r="D9" s="37" t="s">
        <v>320</v>
      </c>
      <c r="E9" s="11" t="s">
        <v>321</v>
      </c>
      <c r="F9" s="37" t="s">
        <v>322</v>
      </c>
      <c r="G9" s="12"/>
      <c r="H9" s="11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>
      <c r="A10" s="11" t="s">
        <v>27</v>
      </c>
      <c r="B10" s="11" t="s">
        <v>323</v>
      </c>
      <c r="C10" s="11" t="s">
        <v>23</v>
      </c>
      <c r="D10" s="37" t="s">
        <v>324</v>
      </c>
      <c r="E10" s="11" t="s">
        <v>325</v>
      </c>
      <c r="F10" s="37" t="s">
        <v>326</v>
      </c>
      <c r="G10" s="12"/>
      <c r="H10" s="11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>
      <c r="A11" s="11" t="s">
        <v>33</v>
      </c>
      <c r="B11" s="11" t="s">
        <v>327</v>
      </c>
      <c r="C11" s="11" t="s">
        <v>328</v>
      </c>
      <c r="D11" s="37" t="s">
        <v>329</v>
      </c>
      <c r="E11" s="11" t="s">
        <v>330</v>
      </c>
      <c r="F11" s="37" t="s">
        <v>331</v>
      </c>
      <c r="G11" s="12"/>
      <c r="H11" s="11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>
      <c r="A12" s="11" t="s">
        <v>39</v>
      </c>
      <c r="B12" s="11" t="s">
        <v>332</v>
      </c>
      <c r="C12" s="11" t="s">
        <v>333</v>
      </c>
      <c r="D12" s="37" t="s">
        <v>334</v>
      </c>
      <c r="E12" s="11" t="s">
        <v>335</v>
      </c>
      <c r="F12" s="37" t="s">
        <v>336</v>
      </c>
      <c r="G12" s="12"/>
      <c r="H12" s="11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>
      <c r="A14" s="20" t="s">
        <v>310</v>
      </c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>
      <c r="A15" s="15" t="s">
        <v>7</v>
      </c>
      <c r="B15" s="15" t="s">
        <v>8</v>
      </c>
      <c r="C15" s="15" t="s">
        <v>9</v>
      </c>
      <c r="D15" s="15" t="s">
        <v>10</v>
      </c>
      <c r="E15" s="15" t="s">
        <v>11</v>
      </c>
      <c r="F15" s="15" t="s">
        <v>312</v>
      </c>
      <c r="G15" s="15" t="s">
        <v>13</v>
      </c>
      <c r="H15" s="15" t="s">
        <v>14</v>
      </c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>
      <c r="A16" s="11" t="s">
        <v>15</v>
      </c>
      <c r="B16" s="11" t="s">
        <v>337</v>
      </c>
      <c r="C16" s="11" t="s">
        <v>338</v>
      </c>
      <c r="D16" s="37" t="s">
        <v>339</v>
      </c>
      <c r="E16" s="11" t="s">
        <v>340</v>
      </c>
      <c r="F16" s="37" t="s">
        <v>341</v>
      </c>
      <c r="G16" s="12"/>
      <c r="H16" s="11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>
      <c r="A17" s="11" t="s">
        <v>21</v>
      </c>
      <c r="B17" s="11" t="s">
        <v>342</v>
      </c>
      <c r="C17" s="11" t="s">
        <v>343</v>
      </c>
      <c r="D17" s="37" t="s">
        <v>344</v>
      </c>
      <c r="E17" s="11" t="s">
        <v>345</v>
      </c>
      <c r="F17" s="37" t="s">
        <v>346</v>
      </c>
      <c r="G17" s="12"/>
      <c r="H17" s="11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>
      <c r="A18" s="11" t="s">
        <v>27</v>
      </c>
      <c r="B18" s="11" t="s">
        <v>347</v>
      </c>
      <c r="C18" s="11" t="s">
        <v>348</v>
      </c>
      <c r="D18" s="37" t="s">
        <v>349</v>
      </c>
      <c r="E18" s="11" t="s">
        <v>350</v>
      </c>
      <c r="F18" s="37" t="s">
        <v>351</v>
      </c>
      <c r="G18" s="12"/>
      <c r="H18" s="11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>
      <c r="A19" s="11" t="s">
        <v>33</v>
      </c>
      <c r="B19" s="11" t="s">
        <v>352</v>
      </c>
      <c r="C19" s="11" t="s">
        <v>353</v>
      </c>
      <c r="D19" s="37" t="s">
        <v>354</v>
      </c>
      <c r="E19" s="11" t="s">
        <v>355</v>
      </c>
      <c r="F19" s="37" t="s">
        <v>356</v>
      </c>
      <c r="G19" s="12"/>
      <c r="H19" s="11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>
      <c r="A21" s="20" t="s">
        <v>311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>
      <c r="A22" s="15" t="s">
        <v>7</v>
      </c>
      <c r="B22" s="15" t="s">
        <v>8</v>
      </c>
      <c r="C22" s="15" t="s">
        <v>9</v>
      </c>
      <c r="D22" s="15" t="s">
        <v>10</v>
      </c>
      <c r="E22" s="15" t="s">
        <v>11</v>
      </c>
      <c r="F22" s="15" t="s">
        <v>312</v>
      </c>
      <c r="G22" s="15" t="s">
        <v>13</v>
      </c>
      <c r="H22" s="15" t="s">
        <v>14</v>
      </c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>
      <c r="A23" s="11" t="s">
        <v>15</v>
      </c>
      <c r="B23" s="11" t="s">
        <v>357</v>
      </c>
      <c r="C23" s="11" t="s">
        <v>47</v>
      </c>
      <c r="D23" s="11" t="s">
        <v>358</v>
      </c>
      <c r="E23" s="11" t="s">
        <v>359</v>
      </c>
      <c r="F23" s="37" t="s">
        <v>360</v>
      </c>
      <c r="G23" s="38"/>
      <c r="H23" s="39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>
      <c r="A24" s="11" t="s">
        <v>21</v>
      </c>
      <c r="B24" s="11" t="s">
        <v>361</v>
      </c>
      <c r="C24" s="11" t="s">
        <v>47</v>
      </c>
      <c r="D24" s="37" t="s">
        <v>362</v>
      </c>
      <c r="E24" s="11" t="s">
        <v>363</v>
      </c>
      <c r="F24" s="37" t="s">
        <v>364</v>
      </c>
      <c r="G24" s="38"/>
      <c r="H24" s="39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>
      <c r="A25" s="11" t="s">
        <v>27</v>
      </c>
      <c r="B25" s="11" t="s">
        <v>365</v>
      </c>
      <c r="C25" s="11" t="s">
        <v>47</v>
      </c>
      <c r="D25" s="37" t="s">
        <v>366</v>
      </c>
      <c r="E25" s="11" t="s">
        <v>367</v>
      </c>
      <c r="F25" s="37" t="s">
        <v>368</v>
      </c>
      <c r="G25" s="38"/>
      <c r="H25" s="39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>
      <c r="A26" s="11" t="s">
        <v>33</v>
      </c>
      <c r="B26" s="11" t="s">
        <v>369</v>
      </c>
      <c r="C26" s="11" t="s">
        <v>370</v>
      </c>
      <c r="D26" s="37" t="s">
        <v>371</v>
      </c>
      <c r="E26" s="11" t="s">
        <v>68</v>
      </c>
      <c r="F26" s="37" t="s">
        <v>372</v>
      </c>
      <c r="G26" s="38"/>
      <c r="H26" s="39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  <row r="1001">
      <c r="A1001" s="35"/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</row>
    <row r="1002">
      <c r="A1002" s="35"/>
      <c r="B1002" s="35"/>
      <c r="C1002" s="35"/>
      <c r="D1002" s="35"/>
      <c r="E1002" s="35"/>
      <c r="F1002" s="35"/>
      <c r="G1002" s="35"/>
      <c r="H1002" s="35"/>
      <c r="I1002" s="35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</row>
    <row r="1003">
      <c r="A1003" s="35"/>
      <c r="B1003" s="35"/>
      <c r="C1003" s="35"/>
      <c r="D1003" s="35"/>
      <c r="E1003" s="35"/>
      <c r="F1003" s="35"/>
      <c r="G1003" s="35"/>
      <c r="H1003" s="35"/>
      <c r="I1003" s="35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</row>
    <row r="1004">
      <c r="A1004" s="35"/>
      <c r="B1004" s="35"/>
      <c r="C1004" s="35"/>
      <c r="D1004" s="35"/>
      <c r="E1004" s="35"/>
      <c r="F1004" s="35"/>
      <c r="G1004" s="35"/>
      <c r="H1004" s="35"/>
      <c r="I1004" s="35"/>
      <c r="J1004" s="35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</row>
    <row r="1005">
      <c r="A1005" s="35"/>
      <c r="B1005" s="35"/>
      <c r="C1005" s="35"/>
      <c r="D1005" s="35"/>
      <c r="E1005" s="35"/>
      <c r="F1005" s="35"/>
      <c r="G1005" s="35"/>
      <c r="H1005" s="35"/>
      <c r="I1005" s="35"/>
      <c r="J1005" s="35"/>
      <c r="K1005" s="35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</row>
    <row r="1006">
      <c r="A1006" s="35"/>
      <c r="B1006" s="35"/>
      <c r="C1006" s="35"/>
      <c r="D1006" s="35"/>
      <c r="E1006" s="35"/>
      <c r="F1006" s="35"/>
      <c r="G1006" s="35"/>
      <c r="H1006" s="35"/>
      <c r="I1006" s="35"/>
      <c r="J1006" s="35"/>
      <c r="K1006" s="35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/>
      <c r="W1006" s="35"/>
      <c r="X1006" s="35"/>
      <c r="Y1006" s="35"/>
      <c r="Z1006" s="35"/>
    </row>
    <row r="1007">
      <c r="A1007" s="35"/>
      <c r="B1007" s="35"/>
      <c r="C1007" s="35"/>
      <c r="D1007" s="35"/>
      <c r="E1007" s="35"/>
      <c r="F1007" s="35"/>
      <c r="G1007" s="35"/>
      <c r="H1007" s="35"/>
      <c r="I1007" s="35"/>
      <c r="J1007" s="35"/>
      <c r="K1007" s="35"/>
      <c r="L1007" s="35"/>
      <c r="M1007" s="35"/>
      <c r="N1007" s="35"/>
      <c r="O1007" s="35"/>
      <c r="P1007" s="35"/>
      <c r="Q1007" s="35"/>
      <c r="R1007" s="35"/>
      <c r="S1007" s="35"/>
      <c r="T1007" s="35"/>
      <c r="U1007" s="35"/>
      <c r="V1007" s="35"/>
      <c r="W1007" s="35"/>
      <c r="X1007" s="35"/>
      <c r="Y1007" s="35"/>
      <c r="Z1007" s="35"/>
    </row>
  </sheetData>
  <mergeCells count="3">
    <mergeCell ref="A6:B6"/>
    <mergeCell ref="A14:C14"/>
    <mergeCell ref="A21:C2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0"/>
    <col customWidth="1" min="3" max="3" width="46.25"/>
    <col customWidth="1" min="4" max="4" width="39.5"/>
    <col customWidth="1" min="5" max="5" width="34.88"/>
    <col customWidth="1" min="6" max="6" width="31.13"/>
    <col customWidth="1" min="7" max="7" width="29.25"/>
    <col customWidth="1" min="8" max="8" width="21.13"/>
  </cols>
  <sheetData>
    <row r="1">
      <c r="A1" s="40" t="s">
        <v>0</v>
      </c>
      <c r="B1" s="40" t="s">
        <v>102</v>
      </c>
      <c r="C1" s="40" t="s">
        <v>103</v>
      </c>
      <c r="D1" s="40" t="s">
        <v>104</v>
      </c>
    </row>
    <row r="2">
      <c r="A2" s="41">
        <v>1.0</v>
      </c>
      <c r="B2" s="41" t="s">
        <v>105</v>
      </c>
      <c r="C2" s="41" t="s">
        <v>106</v>
      </c>
      <c r="D2" s="41">
        <v>12.0</v>
      </c>
    </row>
    <row r="3">
      <c r="A3" s="41">
        <v>2.0</v>
      </c>
      <c r="B3" s="41" t="s">
        <v>107</v>
      </c>
      <c r="C3" s="41" t="s">
        <v>108</v>
      </c>
      <c r="D3" s="41">
        <v>10.0</v>
      </c>
    </row>
    <row r="4">
      <c r="A4" s="41">
        <v>3.0</v>
      </c>
      <c r="B4" s="41" t="s">
        <v>109</v>
      </c>
      <c r="C4" s="41" t="s">
        <v>110</v>
      </c>
      <c r="D4" s="41">
        <v>12.0</v>
      </c>
    </row>
    <row r="5">
      <c r="A5" s="42">
        <v>4.0</v>
      </c>
      <c r="B5" s="42" t="s">
        <v>373</v>
      </c>
      <c r="C5" s="42" t="s">
        <v>374</v>
      </c>
      <c r="D5" s="42">
        <v>12.0</v>
      </c>
    </row>
    <row r="6">
      <c r="A6" s="42">
        <v>5.0</v>
      </c>
      <c r="B6" s="42" t="s">
        <v>375</v>
      </c>
      <c r="C6" s="42" t="s">
        <v>376</v>
      </c>
      <c r="D6" s="42">
        <v>12.0</v>
      </c>
    </row>
    <row r="7">
      <c r="A7" s="42">
        <v>6.0</v>
      </c>
      <c r="B7" s="42" t="s">
        <v>377</v>
      </c>
      <c r="C7" s="42" t="s">
        <v>378</v>
      </c>
      <c r="D7" s="42">
        <v>10.0</v>
      </c>
    </row>
    <row r="8">
      <c r="A8" s="43"/>
      <c r="B8" s="43"/>
      <c r="C8" s="43"/>
      <c r="D8" s="43"/>
    </row>
    <row r="9">
      <c r="A9" s="9" t="s">
        <v>379</v>
      </c>
      <c r="C9" s="44"/>
      <c r="D9" s="44"/>
      <c r="E9" s="44"/>
      <c r="F9" s="44"/>
      <c r="G9" s="44"/>
    </row>
    <row r="10">
      <c r="A10" s="45" t="s">
        <v>112</v>
      </c>
      <c r="B10" s="45" t="s">
        <v>113</v>
      </c>
      <c r="C10" s="45" t="s">
        <v>114</v>
      </c>
      <c r="D10" s="45" t="s">
        <v>115</v>
      </c>
      <c r="E10" s="45" t="s">
        <v>116</v>
      </c>
      <c r="F10" s="45" t="s">
        <v>117</v>
      </c>
      <c r="G10" s="45" t="s">
        <v>12</v>
      </c>
      <c r="H10" s="45" t="s">
        <v>380</v>
      </c>
      <c r="I10" s="45" t="s">
        <v>14</v>
      </c>
    </row>
    <row r="11">
      <c r="A11" s="46" t="s">
        <v>15</v>
      </c>
      <c r="B11" s="46" t="s">
        <v>381</v>
      </c>
      <c r="C11" s="46" t="s">
        <v>382</v>
      </c>
      <c r="D11" s="46" t="s">
        <v>383</v>
      </c>
      <c r="E11" s="47" t="s">
        <v>384</v>
      </c>
      <c r="F11" s="47" t="s">
        <v>385</v>
      </c>
      <c r="G11" s="47" t="s">
        <v>386</v>
      </c>
      <c r="H11" s="48"/>
      <c r="I11" s="48"/>
    </row>
    <row r="12">
      <c r="A12" s="46" t="s">
        <v>21</v>
      </c>
      <c r="B12" s="46" t="s">
        <v>387</v>
      </c>
      <c r="C12" s="46" t="s">
        <v>388</v>
      </c>
      <c r="D12" s="46" t="s">
        <v>132</v>
      </c>
      <c r="E12" s="47" t="s">
        <v>389</v>
      </c>
      <c r="F12" s="47" t="s">
        <v>390</v>
      </c>
      <c r="G12" s="47" t="s">
        <v>391</v>
      </c>
      <c r="H12" s="48"/>
      <c r="I12" s="48"/>
    </row>
    <row r="13">
      <c r="A13" s="46" t="s">
        <v>27</v>
      </c>
      <c r="B13" s="46" t="s">
        <v>392</v>
      </c>
      <c r="C13" s="46" t="s">
        <v>393</v>
      </c>
      <c r="D13" s="46" t="s">
        <v>132</v>
      </c>
      <c r="E13" s="47" t="s">
        <v>394</v>
      </c>
      <c r="F13" s="47" t="s">
        <v>395</v>
      </c>
      <c r="G13" s="47" t="s">
        <v>396</v>
      </c>
      <c r="H13" s="48"/>
      <c r="I13" s="48"/>
    </row>
    <row r="14">
      <c r="A14" s="46" t="s">
        <v>33</v>
      </c>
      <c r="B14" s="46" t="s">
        <v>397</v>
      </c>
      <c r="C14" s="46" t="s">
        <v>398</v>
      </c>
      <c r="D14" s="46" t="s">
        <v>399</v>
      </c>
      <c r="E14" s="47" t="s">
        <v>400</v>
      </c>
      <c r="F14" s="47" t="s">
        <v>401</v>
      </c>
      <c r="G14" s="47" t="s">
        <v>402</v>
      </c>
      <c r="H14" s="48"/>
      <c r="I14" s="48"/>
    </row>
    <row r="15">
      <c r="A15" s="46" t="s">
        <v>39</v>
      </c>
      <c r="B15" s="46" t="s">
        <v>403</v>
      </c>
      <c r="C15" s="46" t="s">
        <v>404</v>
      </c>
      <c r="D15" s="46" t="s">
        <v>405</v>
      </c>
      <c r="E15" s="47" t="s">
        <v>400</v>
      </c>
      <c r="F15" s="47" t="s">
        <v>406</v>
      </c>
      <c r="G15" s="47" t="s">
        <v>402</v>
      </c>
      <c r="H15" s="48"/>
      <c r="I15" s="48"/>
    </row>
    <row r="16">
      <c r="A16" s="46" t="s">
        <v>45</v>
      </c>
      <c r="B16" s="46" t="s">
        <v>407</v>
      </c>
      <c r="C16" s="46" t="s">
        <v>408</v>
      </c>
      <c r="D16" s="46" t="s">
        <v>409</v>
      </c>
      <c r="E16" s="47" t="s">
        <v>410</v>
      </c>
      <c r="F16" s="47" t="s">
        <v>385</v>
      </c>
      <c r="G16" s="47" t="s">
        <v>411</v>
      </c>
      <c r="H16" s="48"/>
      <c r="I16" s="48"/>
    </row>
    <row r="17">
      <c r="A17" s="46" t="s">
        <v>412</v>
      </c>
      <c r="B17" s="46" t="s">
        <v>413</v>
      </c>
      <c r="C17" s="46" t="s">
        <v>414</v>
      </c>
      <c r="D17" s="46" t="s">
        <v>132</v>
      </c>
      <c r="E17" s="47" t="s">
        <v>415</v>
      </c>
      <c r="F17" s="47" t="s">
        <v>416</v>
      </c>
      <c r="G17" s="47" t="s">
        <v>417</v>
      </c>
      <c r="H17" s="48"/>
      <c r="I17" s="48"/>
    </row>
    <row r="18">
      <c r="A18" s="46" t="s">
        <v>418</v>
      </c>
      <c r="B18" s="46" t="s">
        <v>419</v>
      </c>
      <c r="C18" s="46" t="s">
        <v>420</v>
      </c>
      <c r="D18" s="46" t="s">
        <v>132</v>
      </c>
      <c r="E18" s="47" t="s">
        <v>421</v>
      </c>
      <c r="F18" s="47" t="s">
        <v>422</v>
      </c>
      <c r="G18" s="47" t="s">
        <v>423</v>
      </c>
      <c r="H18" s="48"/>
      <c r="I18" s="48"/>
    </row>
    <row r="19">
      <c r="A19" s="46" t="s">
        <v>424</v>
      </c>
      <c r="B19" s="46" t="s">
        <v>425</v>
      </c>
      <c r="C19" s="46" t="s">
        <v>426</v>
      </c>
      <c r="D19" s="46" t="s">
        <v>427</v>
      </c>
      <c r="E19" s="47" t="s">
        <v>428</v>
      </c>
      <c r="F19" s="47" t="s">
        <v>429</v>
      </c>
      <c r="G19" s="47" t="s">
        <v>247</v>
      </c>
      <c r="H19" s="48"/>
      <c r="I19" s="48"/>
    </row>
    <row r="20">
      <c r="A20" s="46" t="s">
        <v>430</v>
      </c>
      <c r="B20" s="46" t="s">
        <v>431</v>
      </c>
      <c r="C20" s="46" t="s">
        <v>432</v>
      </c>
      <c r="D20" s="46" t="s">
        <v>433</v>
      </c>
      <c r="E20" s="47" t="s">
        <v>434</v>
      </c>
      <c r="F20" s="47" t="s">
        <v>435</v>
      </c>
      <c r="G20" s="47" t="s">
        <v>436</v>
      </c>
      <c r="H20" s="48"/>
      <c r="I20" s="48"/>
    </row>
    <row r="21">
      <c r="A21" s="46" t="s">
        <v>437</v>
      </c>
      <c r="B21" s="46" t="s">
        <v>438</v>
      </c>
      <c r="C21" s="46" t="s">
        <v>439</v>
      </c>
      <c r="D21" s="46" t="s">
        <v>440</v>
      </c>
      <c r="E21" s="47" t="s">
        <v>441</v>
      </c>
      <c r="F21" s="47" t="s">
        <v>442</v>
      </c>
      <c r="G21" s="47" t="s">
        <v>443</v>
      </c>
      <c r="H21" s="48"/>
      <c r="I21" s="48"/>
    </row>
    <row r="22">
      <c r="A22" s="46" t="s">
        <v>444</v>
      </c>
      <c r="B22" s="46" t="s">
        <v>445</v>
      </c>
      <c r="C22" s="46" t="s">
        <v>446</v>
      </c>
      <c r="D22" s="46" t="s">
        <v>447</v>
      </c>
      <c r="E22" s="47" t="s">
        <v>441</v>
      </c>
      <c r="F22" s="47" t="s">
        <v>448</v>
      </c>
      <c r="G22" s="47" t="s">
        <v>449</v>
      </c>
      <c r="H22" s="48"/>
      <c r="I22" s="48"/>
    </row>
    <row r="24">
      <c r="A24" s="9" t="s">
        <v>450</v>
      </c>
    </row>
    <row r="25">
      <c r="A25" s="49" t="s">
        <v>112</v>
      </c>
      <c r="B25" s="49" t="s">
        <v>113</v>
      </c>
      <c r="C25" s="49" t="s">
        <v>114</v>
      </c>
      <c r="D25" s="49" t="s">
        <v>115</v>
      </c>
      <c r="E25" s="49" t="s">
        <v>116</v>
      </c>
      <c r="F25" s="49" t="s">
        <v>117</v>
      </c>
      <c r="G25" s="49" t="s">
        <v>12</v>
      </c>
      <c r="H25" s="50" t="s">
        <v>380</v>
      </c>
      <c r="I25" s="50" t="s">
        <v>14</v>
      </c>
    </row>
    <row r="26">
      <c r="A26" s="46" t="s">
        <v>15</v>
      </c>
      <c r="B26" s="46" t="s">
        <v>451</v>
      </c>
      <c r="C26" s="46" t="s">
        <v>452</v>
      </c>
      <c r="D26" s="46" t="s">
        <v>453</v>
      </c>
      <c r="E26" s="47" t="s">
        <v>454</v>
      </c>
      <c r="F26" s="47" t="s">
        <v>191</v>
      </c>
      <c r="G26" s="47" t="s">
        <v>247</v>
      </c>
      <c r="H26" s="51"/>
      <c r="I26" s="51"/>
    </row>
    <row r="27">
      <c r="A27" s="46" t="s">
        <v>21</v>
      </c>
      <c r="B27" s="46" t="s">
        <v>455</v>
      </c>
      <c r="C27" s="46" t="s">
        <v>456</v>
      </c>
      <c r="D27" s="46" t="s">
        <v>457</v>
      </c>
      <c r="E27" s="47" t="s">
        <v>454</v>
      </c>
      <c r="F27" s="47" t="s">
        <v>191</v>
      </c>
      <c r="G27" s="47" t="s">
        <v>436</v>
      </c>
      <c r="H27" s="51"/>
      <c r="I27" s="51"/>
    </row>
    <row r="28">
      <c r="A28" s="46" t="s">
        <v>27</v>
      </c>
      <c r="B28" s="46" t="s">
        <v>458</v>
      </c>
      <c r="C28" s="46" t="s">
        <v>459</v>
      </c>
      <c r="D28" s="46" t="s">
        <v>460</v>
      </c>
      <c r="E28" s="47" t="s">
        <v>461</v>
      </c>
      <c r="F28" s="47" t="s">
        <v>462</v>
      </c>
      <c r="G28" s="47" t="s">
        <v>463</v>
      </c>
      <c r="H28" s="51"/>
      <c r="I28" s="51"/>
    </row>
    <row r="29">
      <c r="A29" s="46" t="s">
        <v>33</v>
      </c>
      <c r="B29" s="46" t="s">
        <v>387</v>
      </c>
      <c r="C29" s="46" t="s">
        <v>388</v>
      </c>
      <c r="D29" s="46" t="s">
        <v>132</v>
      </c>
      <c r="E29" s="47" t="s">
        <v>464</v>
      </c>
      <c r="F29" s="47" t="s">
        <v>465</v>
      </c>
      <c r="G29" s="47" t="s">
        <v>466</v>
      </c>
      <c r="H29" s="51"/>
      <c r="I29" s="51"/>
    </row>
    <row r="30">
      <c r="A30" s="46" t="s">
        <v>39</v>
      </c>
      <c r="B30" s="46" t="s">
        <v>397</v>
      </c>
      <c r="C30" s="46" t="s">
        <v>467</v>
      </c>
      <c r="D30" s="46" t="s">
        <v>399</v>
      </c>
      <c r="E30" s="47" t="s">
        <v>461</v>
      </c>
      <c r="F30" s="47" t="s">
        <v>468</v>
      </c>
      <c r="G30" s="47" t="s">
        <v>469</v>
      </c>
      <c r="H30" s="51"/>
      <c r="I30" s="51"/>
    </row>
    <row r="31">
      <c r="A31" s="46" t="s">
        <v>45</v>
      </c>
      <c r="B31" s="46" t="s">
        <v>470</v>
      </c>
      <c r="C31" s="46" t="s">
        <v>471</v>
      </c>
      <c r="D31" s="46" t="s">
        <v>472</v>
      </c>
      <c r="E31" s="47" t="s">
        <v>461</v>
      </c>
      <c r="F31" s="47" t="s">
        <v>473</v>
      </c>
      <c r="G31" s="47" t="s">
        <v>474</v>
      </c>
      <c r="H31" s="51"/>
      <c r="I31" s="51"/>
    </row>
    <row r="32">
      <c r="A32" s="46" t="s">
        <v>412</v>
      </c>
      <c r="B32" s="46" t="s">
        <v>475</v>
      </c>
      <c r="C32" s="46" t="s">
        <v>476</v>
      </c>
      <c r="D32" s="46" t="s">
        <v>477</v>
      </c>
      <c r="E32" s="47" t="s">
        <v>478</v>
      </c>
      <c r="F32" s="47" t="s">
        <v>479</v>
      </c>
      <c r="G32" s="47" t="s">
        <v>480</v>
      </c>
      <c r="H32" s="51"/>
      <c r="I32" s="51"/>
    </row>
    <row r="33">
      <c r="A33" s="46" t="s">
        <v>418</v>
      </c>
      <c r="B33" s="46" t="s">
        <v>481</v>
      </c>
      <c r="C33" s="46" t="s">
        <v>482</v>
      </c>
      <c r="D33" s="46" t="s">
        <v>483</v>
      </c>
      <c r="E33" s="47" t="s">
        <v>484</v>
      </c>
      <c r="F33" s="47" t="s">
        <v>485</v>
      </c>
      <c r="G33" s="47" t="s">
        <v>486</v>
      </c>
      <c r="H33" s="51"/>
      <c r="I33" s="51"/>
    </row>
    <row r="34">
      <c r="A34" s="46" t="s">
        <v>424</v>
      </c>
      <c r="B34" s="46" t="s">
        <v>487</v>
      </c>
      <c r="C34" s="46" t="s">
        <v>488</v>
      </c>
      <c r="D34" s="46" t="s">
        <v>489</v>
      </c>
      <c r="E34" s="47" t="s">
        <v>490</v>
      </c>
      <c r="F34" s="47" t="s">
        <v>479</v>
      </c>
      <c r="G34" s="47" t="s">
        <v>229</v>
      </c>
      <c r="H34" s="51"/>
      <c r="I34" s="51"/>
    </row>
    <row r="35">
      <c r="A35" s="46" t="s">
        <v>430</v>
      </c>
      <c r="B35" s="46" t="s">
        <v>491</v>
      </c>
      <c r="C35" s="46" t="s">
        <v>492</v>
      </c>
      <c r="D35" s="46" t="s">
        <v>493</v>
      </c>
      <c r="E35" s="47" t="s">
        <v>494</v>
      </c>
      <c r="F35" s="47" t="s">
        <v>479</v>
      </c>
      <c r="G35" s="47" t="s">
        <v>495</v>
      </c>
      <c r="H35" s="51"/>
      <c r="I35" s="51"/>
    </row>
    <row r="36">
      <c r="A36" s="46" t="s">
        <v>437</v>
      </c>
      <c r="B36" s="46" t="s">
        <v>496</v>
      </c>
      <c r="C36" s="46" t="s">
        <v>497</v>
      </c>
      <c r="D36" s="46" t="s">
        <v>498</v>
      </c>
      <c r="E36" s="47" t="s">
        <v>499</v>
      </c>
      <c r="F36" s="47" t="s">
        <v>307</v>
      </c>
      <c r="G36" s="47" t="s">
        <v>500</v>
      </c>
      <c r="H36" s="51"/>
      <c r="I36" s="51"/>
    </row>
    <row r="37">
      <c r="A37" s="46" t="s">
        <v>444</v>
      </c>
      <c r="B37" s="46" t="s">
        <v>501</v>
      </c>
      <c r="C37" s="46" t="s">
        <v>502</v>
      </c>
      <c r="D37" s="46" t="s">
        <v>503</v>
      </c>
      <c r="E37" s="47" t="s">
        <v>504</v>
      </c>
      <c r="F37" s="47" t="s">
        <v>429</v>
      </c>
      <c r="G37" s="47" t="s">
        <v>505</v>
      </c>
      <c r="H37" s="51"/>
      <c r="I37" s="51"/>
    </row>
    <row r="39">
      <c r="A39" s="52" t="s">
        <v>506</v>
      </c>
    </row>
    <row r="40">
      <c r="A40" s="50" t="s">
        <v>112</v>
      </c>
      <c r="B40" s="50" t="s">
        <v>113</v>
      </c>
      <c r="C40" s="50" t="s">
        <v>114</v>
      </c>
      <c r="D40" s="50" t="s">
        <v>115</v>
      </c>
      <c r="E40" s="50" t="s">
        <v>116</v>
      </c>
      <c r="F40" s="50" t="s">
        <v>117</v>
      </c>
      <c r="G40" s="50" t="s">
        <v>12</v>
      </c>
      <c r="H40" s="50" t="s">
        <v>380</v>
      </c>
      <c r="I40" s="50" t="s">
        <v>14</v>
      </c>
    </row>
    <row r="41">
      <c r="A41" s="53" t="s">
        <v>15</v>
      </c>
      <c r="B41" s="46" t="s">
        <v>507</v>
      </c>
      <c r="C41" s="46" t="s">
        <v>508</v>
      </c>
      <c r="D41" s="46" t="s">
        <v>509</v>
      </c>
      <c r="E41" s="47" t="s">
        <v>510</v>
      </c>
      <c r="F41" s="47" t="s">
        <v>191</v>
      </c>
      <c r="G41" s="47" t="s">
        <v>247</v>
      </c>
      <c r="H41" s="48"/>
      <c r="I41" s="48"/>
    </row>
    <row r="42">
      <c r="A42" s="53" t="s">
        <v>21</v>
      </c>
      <c r="B42" s="46" t="s">
        <v>511</v>
      </c>
      <c r="C42" s="46" t="s">
        <v>512</v>
      </c>
      <c r="D42" s="46" t="s">
        <v>513</v>
      </c>
      <c r="E42" s="47" t="s">
        <v>510</v>
      </c>
      <c r="F42" s="47" t="s">
        <v>191</v>
      </c>
      <c r="G42" s="47" t="s">
        <v>436</v>
      </c>
      <c r="H42" s="48"/>
      <c r="I42" s="48"/>
    </row>
    <row r="43">
      <c r="A43" s="53" t="s">
        <v>27</v>
      </c>
      <c r="B43" s="46" t="s">
        <v>514</v>
      </c>
      <c r="C43" s="46" t="s">
        <v>515</v>
      </c>
      <c r="D43" s="46" t="s">
        <v>516</v>
      </c>
      <c r="E43" s="47" t="s">
        <v>517</v>
      </c>
      <c r="F43" s="47" t="s">
        <v>518</v>
      </c>
      <c r="G43" s="47" t="s">
        <v>519</v>
      </c>
      <c r="H43" s="48"/>
      <c r="I43" s="48"/>
    </row>
    <row r="44">
      <c r="A44" s="53" t="s">
        <v>33</v>
      </c>
      <c r="B44" s="46" t="s">
        <v>387</v>
      </c>
      <c r="C44" s="46" t="s">
        <v>388</v>
      </c>
      <c r="D44" s="46" t="s">
        <v>132</v>
      </c>
      <c r="E44" s="47" t="s">
        <v>520</v>
      </c>
      <c r="F44" s="47" t="s">
        <v>521</v>
      </c>
      <c r="G44" s="47" t="s">
        <v>396</v>
      </c>
      <c r="H44" s="48"/>
      <c r="I44" s="48"/>
    </row>
    <row r="45">
      <c r="A45" s="53" t="s">
        <v>39</v>
      </c>
      <c r="B45" s="46" t="s">
        <v>522</v>
      </c>
      <c r="C45" s="46" t="s">
        <v>523</v>
      </c>
      <c r="D45" s="46" t="s">
        <v>132</v>
      </c>
      <c r="E45" s="47" t="s">
        <v>524</v>
      </c>
      <c r="F45" s="47" t="s">
        <v>525</v>
      </c>
      <c r="G45" s="47" t="s">
        <v>417</v>
      </c>
      <c r="H45" s="48"/>
      <c r="I45" s="48"/>
    </row>
    <row r="46">
      <c r="A46" s="53" t="s">
        <v>45</v>
      </c>
      <c r="B46" s="46" t="s">
        <v>397</v>
      </c>
      <c r="C46" s="46" t="s">
        <v>526</v>
      </c>
      <c r="D46" s="46" t="s">
        <v>399</v>
      </c>
      <c r="E46" s="47" t="s">
        <v>517</v>
      </c>
      <c r="F46" s="47" t="s">
        <v>401</v>
      </c>
      <c r="G46" s="47" t="s">
        <v>396</v>
      </c>
      <c r="H46" s="48"/>
      <c r="I46" s="48"/>
    </row>
    <row r="47">
      <c r="A47" s="53" t="s">
        <v>412</v>
      </c>
      <c r="B47" s="46" t="s">
        <v>527</v>
      </c>
      <c r="C47" s="46" t="s">
        <v>528</v>
      </c>
      <c r="D47" s="46" t="s">
        <v>529</v>
      </c>
      <c r="E47" s="47" t="s">
        <v>530</v>
      </c>
      <c r="F47" s="47" t="s">
        <v>531</v>
      </c>
      <c r="G47" s="47" t="s">
        <v>532</v>
      </c>
      <c r="H47" s="48"/>
      <c r="I47" s="48"/>
    </row>
    <row r="48">
      <c r="A48" s="53" t="s">
        <v>418</v>
      </c>
      <c r="B48" s="46" t="s">
        <v>533</v>
      </c>
      <c r="C48" s="46" t="s">
        <v>534</v>
      </c>
      <c r="D48" s="46" t="s">
        <v>529</v>
      </c>
      <c r="E48" s="47" t="s">
        <v>535</v>
      </c>
      <c r="F48" s="47" t="s">
        <v>536</v>
      </c>
      <c r="G48" s="47" t="s">
        <v>537</v>
      </c>
      <c r="H48" s="48"/>
      <c r="I48" s="48"/>
    </row>
    <row r="49">
      <c r="A49" s="53" t="s">
        <v>424</v>
      </c>
      <c r="B49" s="46" t="s">
        <v>538</v>
      </c>
      <c r="C49" s="46" t="s">
        <v>539</v>
      </c>
      <c r="D49" s="46" t="s">
        <v>540</v>
      </c>
      <c r="E49" s="47" t="s">
        <v>541</v>
      </c>
      <c r="F49" s="47" t="s">
        <v>479</v>
      </c>
      <c r="G49" s="47" t="s">
        <v>542</v>
      </c>
      <c r="H49" s="48"/>
      <c r="I49" s="48"/>
    </row>
    <row r="50">
      <c r="A50" s="53" t="s">
        <v>430</v>
      </c>
      <c r="B50" s="46" t="s">
        <v>543</v>
      </c>
      <c r="C50" s="46" t="s">
        <v>482</v>
      </c>
      <c r="D50" s="46" t="s">
        <v>483</v>
      </c>
      <c r="E50" s="47" t="s">
        <v>544</v>
      </c>
      <c r="F50" s="47" t="s">
        <v>485</v>
      </c>
      <c r="G50" s="47" t="s">
        <v>545</v>
      </c>
      <c r="H50" s="48"/>
      <c r="I50" s="48"/>
    </row>
  </sheetData>
  <mergeCells count="1">
    <mergeCell ref="A9:B9"/>
  </mergeCells>
  <drawing r:id="rId1"/>
</worksheet>
</file>